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xialiu/Desktop/"/>
    </mc:Choice>
  </mc:AlternateContent>
  <xr:revisionPtr revIDLastSave="0" documentId="8_{62C97701-E43E-1246-9F32-109C5EE20798}" xr6:coauthVersionLast="47" xr6:coauthVersionMax="47" xr10:uidLastSave="{00000000-0000-0000-0000-000000000000}"/>
  <bookViews>
    <workbookView xWindow="0" yWindow="0" windowWidth="28800" windowHeight="18000" xr2:uid="{3E457292-20DB-8846-B856-892B27773C19}"/>
  </bookViews>
  <sheets>
    <sheet name="4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8" i="1" l="1"/>
  <c r="AX39" i="1" s="1"/>
  <c r="AV39" i="1" s="1"/>
  <c r="AX40" i="1" s="1"/>
  <c r="AV40" i="1" s="1"/>
  <c r="AX41" i="1" s="1"/>
  <c r="AV41" i="1" s="1"/>
  <c r="AX42" i="1" s="1"/>
  <c r="AV42" i="1" s="1"/>
  <c r="AX43" i="1" s="1"/>
  <c r="AV43" i="1" s="1"/>
  <c r="AX44" i="1" s="1"/>
  <c r="AV44" i="1" s="1"/>
  <c r="AX45" i="1" s="1"/>
  <c r="AV45" i="1" s="1"/>
  <c r="AX46" i="1" s="1"/>
  <c r="AV46" i="1" s="1"/>
  <c r="AX47" i="1" s="1"/>
  <c r="AV47" i="1" s="1"/>
  <c r="AX48" i="1" s="1"/>
  <c r="AV48" i="1" s="1"/>
  <c r="AX49" i="1" s="1"/>
  <c r="AV49" i="1" s="1"/>
  <c r="AX37" i="1"/>
  <c r="AK37" i="1"/>
  <c r="AJ37" i="1"/>
  <c r="AI37" i="1"/>
  <c r="O37" i="1"/>
  <c r="P37" i="1" s="1"/>
  <c r="AX36" i="1"/>
  <c r="AK36" i="1"/>
  <c r="AJ36" i="1"/>
  <c r="AI36" i="1"/>
  <c r="O36" i="1"/>
  <c r="P36" i="1" s="1"/>
  <c r="AX35" i="1"/>
  <c r="AK35" i="1"/>
  <c r="AJ35" i="1"/>
  <c r="AI35" i="1"/>
  <c r="P35" i="1"/>
  <c r="O35" i="1"/>
  <c r="AX34" i="1"/>
  <c r="AK34" i="1"/>
  <c r="AJ34" i="1"/>
  <c r="AI34" i="1"/>
  <c r="O34" i="1"/>
  <c r="P34" i="1" s="1"/>
  <c r="AX33" i="1"/>
  <c r="AK33" i="1"/>
  <c r="AJ33" i="1"/>
  <c r="AI33" i="1"/>
  <c r="P33" i="1"/>
  <c r="O33" i="1"/>
  <c r="AX32" i="1"/>
  <c r="AK32" i="1"/>
  <c r="AJ32" i="1"/>
  <c r="AI32" i="1"/>
  <c r="P32" i="1"/>
  <c r="O32" i="1"/>
  <c r="AX31" i="1"/>
  <c r="AK31" i="1"/>
  <c r="AJ31" i="1"/>
  <c r="AI31" i="1"/>
  <c r="P31" i="1"/>
  <c r="O31" i="1"/>
  <c r="AX30" i="1"/>
  <c r="AK30" i="1"/>
  <c r="AJ30" i="1"/>
  <c r="AI30" i="1"/>
  <c r="P30" i="1"/>
  <c r="O30" i="1"/>
  <c r="AX29" i="1"/>
  <c r="AK29" i="1"/>
  <c r="AJ29" i="1"/>
  <c r="AI29" i="1"/>
  <c r="P29" i="1"/>
  <c r="O29" i="1"/>
  <c r="AX28" i="1"/>
  <c r="AK28" i="1"/>
  <c r="AJ28" i="1"/>
  <c r="AI28" i="1"/>
  <c r="P28" i="1"/>
  <c r="O28" i="1"/>
  <c r="AX27" i="1"/>
  <c r="AK27" i="1"/>
  <c r="AJ27" i="1"/>
  <c r="AI27" i="1"/>
  <c r="P27" i="1"/>
  <c r="O27" i="1"/>
  <c r="AX26" i="1"/>
  <c r="AK26" i="1"/>
  <c r="AJ26" i="1"/>
  <c r="AI26" i="1"/>
  <c r="P26" i="1"/>
  <c r="O26" i="1"/>
  <c r="AX25" i="1"/>
  <c r="AK25" i="1"/>
  <c r="AJ25" i="1"/>
  <c r="AI25" i="1"/>
  <c r="P25" i="1"/>
  <c r="O25" i="1"/>
  <c r="AX24" i="1"/>
  <c r="AK24" i="1"/>
  <c r="AJ24" i="1"/>
  <c r="AI24" i="1"/>
  <c r="P24" i="1"/>
  <c r="O24" i="1"/>
  <c r="AX23" i="1"/>
  <c r="AK23" i="1"/>
  <c r="AJ23" i="1"/>
  <c r="AI23" i="1"/>
  <c r="P23" i="1"/>
  <c r="O23" i="1"/>
  <c r="AX22" i="1"/>
  <c r="AK22" i="1"/>
  <c r="AJ22" i="1"/>
  <c r="AI22" i="1"/>
  <c r="P22" i="1"/>
  <c r="O22" i="1"/>
  <c r="AX21" i="1"/>
  <c r="AK21" i="1"/>
  <c r="AJ21" i="1"/>
  <c r="AI21" i="1"/>
  <c r="P21" i="1"/>
  <c r="O21" i="1"/>
  <c r="AX20" i="1"/>
  <c r="AK20" i="1"/>
  <c r="AJ20" i="1"/>
  <c r="AI20" i="1"/>
  <c r="P20" i="1"/>
  <c r="O20" i="1"/>
  <c r="AX19" i="1"/>
  <c r="AK19" i="1"/>
  <c r="AJ19" i="1"/>
  <c r="AI19" i="1"/>
  <c r="P19" i="1"/>
  <c r="O19" i="1"/>
  <c r="AX18" i="1"/>
  <c r="AK18" i="1"/>
  <c r="AJ18" i="1"/>
  <c r="AI18" i="1"/>
  <c r="P18" i="1"/>
  <c r="O18" i="1"/>
  <c r="AX17" i="1"/>
  <c r="AK17" i="1"/>
  <c r="AJ17" i="1"/>
  <c r="AI17" i="1"/>
  <c r="P17" i="1"/>
  <c r="O17" i="1"/>
  <c r="AX16" i="1"/>
  <c r="AK16" i="1"/>
  <c r="AJ16" i="1"/>
  <c r="AI16" i="1"/>
  <c r="P16" i="1"/>
  <c r="O16" i="1"/>
  <c r="AX15" i="1"/>
  <c r="AK15" i="1"/>
  <c r="AJ15" i="1"/>
  <c r="AI15" i="1"/>
  <c r="P15" i="1"/>
  <c r="O15" i="1"/>
  <c r="AX14" i="1"/>
  <c r="AK14" i="1"/>
  <c r="AJ14" i="1"/>
  <c r="AI14" i="1"/>
  <c r="P14" i="1"/>
  <c r="O14" i="1"/>
  <c r="AX13" i="1"/>
  <c r="AK13" i="1"/>
  <c r="AJ13" i="1"/>
  <c r="AI13" i="1"/>
  <c r="P13" i="1"/>
  <c r="O13" i="1"/>
  <c r="AX12" i="1"/>
  <c r="AK12" i="1"/>
  <c r="AJ12" i="1"/>
  <c r="AI12" i="1"/>
  <c r="P12" i="1"/>
  <c r="O12" i="1"/>
  <c r="AX11" i="1"/>
  <c r="AK11" i="1"/>
  <c r="AJ11" i="1"/>
  <c r="AI11" i="1"/>
  <c r="P11" i="1"/>
  <c r="O11" i="1"/>
  <c r="AX10" i="1"/>
  <c r="AK10" i="1"/>
  <c r="AJ10" i="1"/>
  <c r="AI10" i="1"/>
  <c r="P10" i="1"/>
  <c r="O10" i="1"/>
  <c r="AX9" i="1"/>
  <c r="AK9" i="1"/>
  <c r="AJ9" i="1"/>
  <c r="AI9" i="1"/>
  <c r="P9" i="1"/>
  <c r="O9" i="1"/>
  <c r="AX8" i="1"/>
  <c r="AK8" i="1"/>
  <c r="AJ8" i="1"/>
  <c r="AI8" i="1"/>
  <c r="P8" i="1"/>
  <c r="O8" i="1"/>
  <c r="AX7" i="1"/>
  <c r="AK7" i="1"/>
  <c r="AJ7" i="1"/>
  <c r="AI7" i="1"/>
  <c r="P7" i="1"/>
  <c r="O7" i="1"/>
  <c r="AX6" i="1"/>
  <c r="AK6" i="1"/>
  <c r="AJ6" i="1"/>
  <c r="AI6" i="1"/>
  <c r="P6" i="1"/>
  <c r="O6" i="1"/>
  <c r="AX5" i="1"/>
  <c r="AK5" i="1"/>
  <c r="AJ5" i="1"/>
  <c r="AI5" i="1"/>
  <c r="P5" i="1"/>
  <c r="O5" i="1"/>
  <c r="AX4" i="1"/>
  <c r="AJ4" i="1"/>
  <c r="AI4" i="1"/>
  <c r="O4" i="1"/>
  <c r="P4" i="1" s="1"/>
  <c r="AX3" i="1"/>
  <c r="AI3" i="1"/>
  <c r="O3" i="1"/>
  <c r="P3" i="1" s="1"/>
  <c r="O2" i="1"/>
  <c r="P2" i="1" s="1"/>
</calcChain>
</file>

<file path=xl/sharedStrings.xml><?xml version="1.0" encoding="utf-8"?>
<sst xmlns="http://schemas.openxmlformats.org/spreadsheetml/2006/main" count="123" uniqueCount="53">
  <si>
    <t>Adj Factor</t>
  </si>
  <si>
    <t>Desea Sales</t>
  </si>
  <si>
    <t>month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</si>
  <si>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</si>
  <si>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</si>
  <si>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</si>
  <si>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</si>
  <si>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</si>
  <si>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</si>
  <si>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</si>
  <si>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</si>
  <si>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</si>
  <si>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</si>
  <si>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</si>
  <si>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predict</t>
  </si>
  <si>
    <t>error</t>
  </si>
  <si>
    <t>SUMMARY OUTPUT</t>
  </si>
  <si>
    <t>error-1</t>
  </si>
  <si>
    <t>error-2</t>
  </si>
  <si>
    <t>error-3</t>
  </si>
  <si>
    <t>Sales</t>
  </si>
  <si>
    <t>Sales-1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</si>
  <si>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</si>
  <si>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</si>
  <si>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</si>
  <si>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</si>
  <si>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</si>
  <si>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</si>
  <si>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</si>
  <si>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</si>
  <si>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</si>
  <si>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</si>
  <si>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</si>
  <si>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</si>
  <si>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</si>
  <si>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</si>
  <si>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</si>
  <si>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</si>
  <si>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</si>
  <si>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</si>
  <si>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</si>
  <si>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</si>
  <si>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</si>
  <si>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</si>
  <si>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</si>
  <si>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</si>
  <si>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</si>
  <si>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</si>
  <si>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Desea Sales</t>
  </si>
  <si>
    <t>Residuals</t>
  </si>
  <si>
    <t>Standard Residuals</t>
  </si>
  <si>
    <t>Percentile</t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</si>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</sst>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3" fillId="0" borderId="1" xfId="0" applyFont="1" applyBorder="1" applyAlignment="1">
      <alignment horizontal="center"/>
    </xf>
    <xf numFmtId="16" fontId="0" fillId="0" borderId="0" xfId="0" applyNumberFormat="1"/>
    <xf numFmtId="0" fontId="3" fillId="0" borderId="1" xfId="0" applyFont="1" applyBorder="1" applyAlignment="1">
      <alignment horizontal="centerContinuous"/>
    </xf>
    <xf numFmtId="0" fontId="0" fillId="0" borderId="2" xfId="0" applyBorder="1"/>
    <xf numFmtId="1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'[1]3'!$G$2:$G$37</c:f>
              <c:numCache>
                <c:formatCode>General</c:formatCode>
                <c:ptCount val="36"/>
                <c:pt idx="0">
                  <c:v>167.63792085612786</c:v>
                </c:pt>
                <c:pt idx="1">
                  <c:v>180.81089076167444</c:v>
                </c:pt>
                <c:pt idx="2">
                  <c:v>172.60359628579616</c:v>
                </c:pt>
                <c:pt idx="3">
                  <c:v>170.95630746174007</c:v>
                </c:pt>
                <c:pt idx="4">
                  <c:v>175.34050901040055</c:v>
                </c:pt>
                <c:pt idx="5">
                  <c:v>174.91675701293505</c:v>
                </c:pt>
                <c:pt idx="6">
                  <c:v>175.05592586933454</c:v>
                </c:pt>
                <c:pt idx="7">
                  <c:v>178.1999067368759</c:v>
                </c:pt>
                <c:pt idx="8">
                  <c:v>175.16279462455958</c:v>
                </c:pt>
                <c:pt idx="9">
                  <c:v>185.62868210620866</c:v>
                </c:pt>
                <c:pt idx="10">
                  <c:v>178.24489047941162</c:v>
                </c:pt>
                <c:pt idx="11">
                  <c:v>177.69775150390905</c:v>
                </c:pt>
                <c:pt idx="12">
                  <c:v>182.18501316182491</c:v>
                </c:pt>
                <c:pt idx="13">
                  <c:v>183.11911489905754</c:v>
                </c:pt>
                <c:pt idx="14">
                  <c:v>183.76331156289504</c:v>
                </c:pt>
                <c:pt idx="15">
                  <c:v>185.3627378658193</c:v>
                </c:pt>
                <c:pt idx="16">
                  <c:v>183.91694695112668</c:v>
                </c:pt>
                <c:pt idx="17">
                  <c:v>186.16140567805229</c:v>
                </c:pt>
                <c:pt idx="18">
                  <c:v>189.54331283783119</c:v>
                </c:pt>
                <c:pt idx="19">
                  <c:v>188.75121700419092</c:v>
                </c:pt>
                <c:pt idx="20">
                  <c:v>194.27146312905697</c:v>
                </c:pt>
                <c:pt idx="21">
                  <c:v>185.62868210620866</c:v>
                </c:pt>
                <c:pt idx="22">
                  <c:v>195.83484677672197</c:v>
                </c:pt>
                <c:pt idx="23">
                  <c:v>198.40040216455864</c:v>
                </c:pt>
                <c:pt idx="24">
                  <c:v>195.34666810507463</c:v>
                </c:pt>
                <c:pt idx="25">
                  <c:v>196.19905167756164</c:v>
                </c:pt>
                <c:pt idx="26">
                  <c:v>197.1549698954137</c:v>
                </c:pt>
                <c:pt idx="27">
                  <c:v>196.88788218908266</c:v>
                </c:pt>
                <c:pt idx="28">
                  <c:v>200.11688528360932</c:v>
                </c:pt>
                <c:pt idx="29">
                  <c:v>199.90486515764005</c:v>
                </c:pt>
                <c:pt idx="30">
                  <c:v>200.40885306420367</c:v>
                </c:pt>
                <c:pt idx="31">
                  <c:v>203.99199850142372</c:v>
                </c:pt>
                <c:pt idx="32">
                  <c:v>200.64101929722278</c:v>
                </c:pt>
                <c:pt idx="33">
                  <c:v>211.33111501322216</c:v>
                </c:pt>
                <c:pt idx="34">
                  <c:v>202.87082929564613</c:v>
                </c:pt>
                <c:pt idx="35">
                  <c:v>202.71345438552731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B-E349-8D6B-B1B043A3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964095"/>
        <c:axId val="471914240"/>
      </c:lineChart>
      <c:catAx>
        <c:axId val="153396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14240"/>
        <c:crosses val="autoZero"/>
        <c:auto val="1"/>
        <c:lblAlgn val="ctr"/>
        <c:lblOffset val="100"/>
        <c:noMultiLvlLbl val="0"/>
      </c:catAx>
      <c:valAx>
        <c:axId val="4719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'4'!$W$25:$W$60</c:f>
              <c:numCache>
                <c:formatCode>General</c:formatCode>
                <c:ptCount val="36"/>
                <c:pt idx="0">
                  <c:v>1.3888888888888888</c:v>
                </c:pt>
                <c:pt idx="1">
                  <c:v>4.1666666666666661</c:v>
                </c:pt>
                <c:pt idx="2">
                  <c:v>6.9444444444444446</c:v>
                </c:pt>
                <c:pt idx="3">
                  <c:v>9.7222222222222214</c:v>
                </c:pt>
                <c:pt idx="4">
                  <c:v>12.5</c:v>
                </c:pt>
                <c:pt idx="5">
                  <c:v>15.277777777777779</c:v>
                </c:pt>
                <c:pt idx="6">
                  <c:v>18.055555555555554</c:v>
                </c:pt>
                <c:pt idx="7">
                  <c:v>20.833333333333332</c:v>
                </c:pt>
                <c:pt idx="8">
                  <c:v>23.611111111111111</c:v>
                </c:pt>
                <c:pt idx="9">
                  <c:v>26.388888888888889</c:v>
                </c:pt>
                <c:pt idx="10">
                  <c:v>29.166666666666668</c:v>
                </c:pt>
                <c:pt idx="11">
                  <c:v>31.944444444444443</c:v>
                </c:pt>
                <c:pt idx="12">
                  <c:v>34.722222222222214</c:v>
                </c:pt>
                <c:pt idx="13">
                  <c:v>37.499999999999993</c:v>
                </c:pt>
                <c:pt idx="14">
                  <c:v>40.277777777777771</c:v>
                </c:pt>
                <c:pt idx="15">
                  <c:v>43.05555555555555</c:v>
                </c:pt>
                <c:pt idx="16">
                  <c:v>45.833333333333329</c:v>
                </c:pt>
                <c:pt idx="17">
                  <c:v>48.611111111111107</c:v>
                </c:pt>
                <c:pt idx="18">
                  <c:v>51.388888888888886</c:v>
                </c:pt>
                <c:pt idx="19">
                  <c:v>54.166666666666664</c:v>
                </c:pt>
                <c:pt idx="20">
                  <c:v>56.944444444444443</c:v>
                </c:pt>
                <c:pt idx="21">
                  <c:v>59.722222222222214</c:v>
                </c:pt>
                <c:pt idx="22">
                  <c:v>62.499999999999993</c:v>
                </c:pt>
                <c:pt idx="23">
                  <c:v>65.277777777777771</c:v>
                </c:pt>
                <c:pt idx="24">
                  <c:v>68.055555555555543</c:v>
                </c:pt>
                <c:pt idx="25">
                  <c:v>70.833333333333329</c:v>
                </c:pt>
                <c:pt idx="26">
                  <c:v>73.6111111111111</c:v>
                </c:pt>
                <c:pt idx="27">
                  <c:v>76.388888888888886</c:v>
                </c:pt>
                <c:pt idx="28">
                  <c:v>79.166666666666657</c:v>
                </c:pt>
                <c:pt idx="29">
                  <c:v>81.944444444444443</c:v>
                </c:pt>
                <c:pt idx="30">
                  <c:v>84.722222222222214</c:v>
                </c:pt>
                <c:pt idx="31">
                  <c:v>87.5</c:v>
                </c:pt>
                <c:pt idx="32">
                  <c:v>90.277777777777771</c:v>
                </c:pt>
                <c:pt idx="33">
                  <c:v>93.055555555555543</c:v>
                </c:pt>
                <c:pt idx="34">
                  <c:v>95.833333333333329</c:v>
                </c:pt>
                <c:pt idx="35">
                  <c:v>98.6111111111111</c:v>
                </c:pt>
              </c:numCache>
            </c:numRef>
          </c:xVal>
          <c:yVal>
            <c:numRef>
              <c:f>'4'!$X$25:$X$60</c:f>
              <c:numCache>
                <c:formatCode>General</c:formatCode>
                <c:ptCount val="36"/>
                <c:pt idx="0">
                  <c:v>167.63792085612786</c:v>
                </c:pt>
                <c:pt idx="1">
                  <c:v>170.95630746174007</c:v>
                </c:pt>
                <c:pt idx="2">
                  <c:v>172.60359628579616</c:v>
                </c:pt>
                <c:pt idx="3">
                  <c:v>174.91675701293505</c:v>
                </c:pt>
                <c:pt idx="4">
                  <c:v>175.05592586933454</c:v>
                </c:pt>
                <c:pt idx="5">
                  <c:v>175.16279462455958</c:v>
                </c:pt>
                <c:pt idx="6">
                  <c:v>175.34050901040055</c:v>
                </c:pt>
                <c:pt idx="7">
                  <c:v>177.69775150390905</c:v>
                </c:pt>
                <c:pt idx="8">
                  <c:v>178.1999067368759</c:v>
                </c:pt>
                <c:pt idx="9">
                  <c:v>178.24489047941162</c:v>
                </c:pt>
                <c:pt idx="10">
                  <c:v>180.81089076167444</c:v>
                </c:pt>
                <c:pt idx="11">
                  <c:v>182.18501316182491</c:v>
                </c:pt>
                <c:pt idx="12">
                  <c:v>183.11911489905754</c:v>
                </c:pt>
                <c:pt idx="13">
                  <c:v>183.76331156289504</c:v>
                </c:pt>
                <c:pt idx="14">
                  <c:v>183.91694695112668</c:v>
                </c:pt>
                <c:pt idx="15">
                  <c:v>185.3627378658193</c:v>
                </c:pt>
                <c:pt idx="16">
                  <c:v>185.62868210620866</c:v>
                </c:pt>
                <c:pt idx="17">
                  <c:v>185.62868210620866</c:v>
                </c:pt>
                <c:pt idx="18">
                  <c:v>186.16140567805229</c:v>
                </c:pt>
                <c:pt idx="19">
                  <c:v>188.75121700419092</c:v>
                </c:pt>
                <c:pt idx="20">
                  <c:v>189.54331283783119</c:v>
                </c:pt>
                <c:pt idx="21">
                  <c:v>194.27146312905697</c:v>
                </c:pt>
                <c:pt idx="22">
                  <c:v>195.34666810507463</c:v>
                </c:pt>
                <c:pt idx="23">
                  <c:v>195.83484677672197</c:v>
                </c:pt>
                <c:pt idx="24">
                  <c:v>196.19905167756164</c:v>
                </c:pt>
                <c:pt idx="25">
                  <c:v>196.88788218908266</c:v>
                </c:pt>
                <c:pt idx="26">
                  <c:v>197.1549698954137</c:v>
                </c:pt>
                <c:pt idx="27">
                  <c:v>198.40040216455864</c:v>
                </c:pt>
                <c:pt idx="28">
                  <c:v>199.90486515764005</c:v>
                </c:pt>
                <c:pt idx="29">
                  <c:v>200.11688528360932</c:v>
                </c:pt>
                <c:pt idx="30">
                  <c:v>200.40885306420367</c:v>
                </c:pt>
                <c:pt idx="31">
                  <c:v>200.64101929722278</c:v>
                </c:pt>
                <c:pt idx="32">
                  <c:v>202.71345438552731</c:v>
                </c:pt>
                <c:pt idx="33">
                  <c:v>202.87082929564613</c:v>
                </c:pt>
                <c:pt idx="34">
                  <c:v>203.99199850142372</c:v>
                </c:pt>
                <c:pt idx="35">
                  <c:v>211.33111501322216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B-7442-AB1F-E0751C66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91471"/>
        <c:axId val="76840111"/>
      </c:scatterChart>
      <c:valAx>
        <c:axId val="7699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40111"/>
        <c:crosses val="autoZero"/>
        <c:crossBetween val="midCat"/>
      </c:valAx>
      <c:valAx>
        <c:axId val="76840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Desea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9914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'4'!$P$2:$P$37</c:f>
              <c:numCache>
                <c:formatCode>General</c:formatCode>
                <c:ptCount val="36"/>
                <c:pt idx="0">
                  <c:v>-2.7327763763850896</c:v>
                </c:pt>
                <c:pt idx="1">
                  <c:v>9.4188968968734059</c:v>
                </c:pt>
                <c:pt idx="2">
                  <c:v>0.19030578870706449</c:v>
                </c:pt>
                <c:pt idx="3">
                  <c:v>-2.4782796676370822</c:v>
                </c:pt>
                <c:pt idx="4">
                  <c:v>0.88462524873534676</c:v>
                </c:pt>
                <c:pt idx="5">
                  <c:v>-0.5604233810182393</c:v>
                </c:pt>
                <c:pt idx="6">
                  <c:v>-1.4425511569068021</c:v>
                </c:pt>
                <c:pt idx="7">
                  <c:v>0.6801330783465005</c:v>
                </c:pt>
                <c:pt idx="8">
                  <c:v>-3.3782756662578777</c:v>
                </c:pt>
                <c:pt idx="9">
                  <c:v>6.0663151831031144</c:v>
                </c:pt>
                <c:pt idx="10">
                  <c:v>-2.338773075981976</c:v>
                </c:pt>
                <c:pt idx="11">
                  <c:v>-3.907208683772609</c:v>
                </c:pt>
                <c:pt idx="12">
                  <c:v>-0.44124365814479916</c:v>
                </c:pt>
                <c:pt idx="13">
                  <c:v>-0.52843855320026023</c:v>
                </c:pt>
                <c:pt idx="14">
                  <c:v>-0.90553852165081139</c:v>
                </c:pt>
                <c:pt idx="15">
                  <c:v>-0.32740885101461004</c:v>
                </c:pt>
                <c:pt idx="16">
                  <c:v>-2.7944963979952888</c:v>
                </c:pt>
                <c:pt idx="17">
                  <c:v>-1.5713343033577587</c:v>
                </c:pt>
                <c:pt idx="18">
                  <c:v>0.78927622413308995</c:v>
                </c:pt>
                <c:pt idx="19">
                  <c:v>-1.024116241795241</c:v>
                </c:pt>
                <c:pt idx="20">
                  <c:v>3.4748332507827229</c:v>
                </c:pt>
                <c:pt idx="21">
                  <c:v>-6.1892444043536443</c:v>
                </c:pt>
                <c:pt idx="22">
                  <c:v>2.9956236338716167</c:v>
                </c:pt>
                <c:pt idx="23">
                  <c:v>4.539882389420228</c:v>
                </c:pt>
                <c:pt idx="24">
                  <c:v>0.46485169764812895</c:v>
                </c:pt>
                <c:pt idx="25">
                  <c:v>0.29593863784708674</c:v>
                </c:pt>
                <c:pt idx="26">
                  <c:v>0.23056022341108928</c:v>
                </c:pt>
                <c:pt idx="27">
                  <c:v>-1.0578241152080352</c:v>
                </c:pt>
                <c:pt idx="28">
                  <c:v>1.1498823470305695</c:v>
                </c:pt>
                <c:pt idx="29">
                  <c:v>-8.343441122676154E-2</c:v>
                </c:pt>
                <c:pt idx="30">
                  <c:v>-0.60074313695119486</c:v>
                </c:pt>
                <c:pt idx="31">
                  <c:v>1.961105667980803</c:v>
                </c:pt>
                <c:pt idx="32">
                  <c:v>-2.411170168508221</c:v>
                </c:pt>
                <c:pt idx="33">
                  <c:v>7.2576289152030995</c:v>
                </c:pt>
                <c:pt idx="34">
                  <c:v>-2.2239534346609844</c:v>
                </c:pt>
                <c:pt idx="35">
                  <c:v>-3.4026249770678874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8-8C4F-9868-3E855FD1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084976"/>
        <c:axId val="496352976"/>
      </c:lineChart>
      <c:catAx>
        <c:axId val="49608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52976"/>
        <c:crosses val="autoZero"/>
        <c:auto val="1"/>
        <c:lblAlgn val="ctr"/>
        <c:lblOffset val="100"/>
        <c:noMultiLvlLbl val="0"/>
      </c:catAx>
      <c:valAx>
        <c:axId val="4963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08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'4'!$AV$2:$AV$49</c:f>
              <c:numCache>
                <c:formatCode>General</c:formatCode>
                <c:ptCount val="48"/>
                <c:pt idx="0">
                  <c:v>242</c:v>
                </c:pt>
                <c:pt idx="1">
                  <c:v>235</c:v>
                </c:pt>
                <c:pt idx="2">
                  <c:v>232</c:v>
                </c:pt>
                <c:pt idx="3">
                  <c:v>178</c:v>
                </c:pt>
                <c:pt idx="4">
                  <c:v>184</c:v>
                </c:pt>
                <c:pt idx="5">
                  <c:v>140</c:v>
                </c:pt>
                <c:pt idx="6">
                  <c:v>145</c:v>
                </c:pt>
                <c:pt idx="7">
                  <c:v>152</c:v>
                </c:pt>
                <c:pt idx="8">
                  <c:v>110</c:v>
                </c:pt>
                <c:pt idx="9">
                  <c:v>130</c:v>
                </c:pt>
                <c:pt idx="10">
                  <c:v>152</c:v>
                </c:pt>
                <c:pt idx="11">
                  <c:v>206</c:v>
                </c:pt>
                <c:pt idx="12">
                  <c:v>263</c:v>
                </c:pt>
                <c:pt idx="13">
                  <c:v>238</c:v>
                </c:pt>
                <c:pt idx="14">
                  <c:v>247</c:v>
                </c:pt>
                <c:pt idx="15">
                  <c:v>193</c:v>
                </c:pt>
                <c:pt idx="16">
                  <c:v>193</c:v>
                </c:pt>
                <c:pt idx="17">
                  <c:v>149</c:v>
                </c:pt>
                <c:pt idx="18">
                  <c:v>157</c:v>
                </c:pt>
                <c:pt idx="19">
                  <c:v>161</c:v>
                </c:pt>
                <c:pt idx="20">
                  <c:v>122</c:v>
                </c:pt>
                <c:pt idx="21">
                  <c:v>130</c:v>
                </c:pt>
                <c:pt idx="22">
                  <c:v>167</c:v>
                </c:pt>
                <c:pt idx="23">
                  <c:v>230</c:v>
                </c:pt>
                <c:pt idx="24">
                  <c:v>282</c:v>
                </c:pt>
                <c:pt idx="25">
                  <c:v>255</c:v>
                </c:pt>
                <c:pt idx="26">
                  <c:v>265</c:v>
                </c:pt>
                <c:pt idx="27">
                  <c:v>205</c:v>
                </c:pt>
                <c:pt idx="28">
                  <c:v>210</c:v>
                </c:pt>
                <c:pt idx="29">
                  <c:v>160</c:v>
                </c:pt>
                <c:pt idx="30">
                  <c:v>166</c:v>
                </c:pt>
                <c:pt idx="31">
                  <c:v>174</c:v>
                </c:pt>
                <c:pt idx="32">
                  <c:v>126</c:v>
                </c:pt>
                <c:pt idx="33">
                  <c:v>148</c:v>
                </c:pt>
                <c:pt idx="34">
                  <c:v>173</c:v>
                </c:pt>
                <c:pt idx="35">
                  <c:v>235</c:v>
                </c:pt>
                <c:pt idx="36" formatCode="0">
                  <c:v>289.88624724714862</c:v>
                </c:pt>
                <c:pt idx="37" formatCode="0">
                  <c:v>266.20300148602428</c:v>
                </c:pt>
                <c:pt idx="38" formatCode="0">
                  <c:v>271.27660316723501</c:v>
                </c:pt>
                <c:pt idx="39" formatCode="0">
                  <c:v>215.25980764808105</c:v>
                </c:pt>
                <c:pt idx="40" formatCode="0">
                  <c:v>218.92538823432062</c:v>
                </c:pt>
                <c:pt idx="41" formatCode="0">
                  <c:v>172.92531800304744</c:v>
                </c:pt>
                <c:pt idx="42" formatCode="0">
                  <c:v>179.25864679488313</c:v>
                </c:pt>
                <c:pt idx="43" formatCode="0">
                  <c:v>185.59197983454101</c:v>
                </c:pt>
                <c:pt idx="44" formatCode="0">
                  <c:v>142.59197981555047</c:v>
                </c:pt>
                <c:pt idx="45" formatCode="0">
                  <c:v>159.25864648098917</c:v>
                </c:pt>
                <c:pt idx="46" formatCode="0">
                  <c:v>187.25864648090976</c:v>
                </c:pt>
                <c:pt idx="47" formatCode="0">
                  <c:v>246.92531314757127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B-BB45-919D-1936223F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852736"/>
        <c:axId val="621401456"/>
      </c:lineChart>
      <c:catAx>
        <c:axId val="62085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01456"/>
        <c:crosses val="autoZero"/>
        <c:auto val="1"/>
        <c:lblAlgn val="ctr"/>
        <c:lblOffset val="100"/>
        <c:noMultiLvlLbl val="0"/>
      </c:catAx>
      <c:valAx>
        <c:axId val="6214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5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14</xdr:row>
      <xdr:rowOff>152400</xdr:rowOff>
    </xdr:from>
    <xdr:to>
      <xdr:col>11</xdr:col>
      <xdr:colOff>133350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E13CB-4BD8-9545-8CE0-2A95363C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279400</xdr:colOff>
      <xdr:row>29</xdr:row>
      <xdr:rowOff>25400</xdr:rowOff>
    </xdr:from>
    <xdr:to>
      <xdr:col>32</xdr:col>
      <xdr:colOff>279400</xdr:colOff>
      <xdr:row>39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5EB63-3C51-054D-B0C3-9EE8B69D7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241300</xdr:colOff>
      <xdr:row>28</xdr:row>
      <xdr:rowOff>165100</xdr:rowOff>
    </xdr:from>
    <xdr:to>
      <xdr:col>14</xdr:col>
      <xdr:colOff>127000</xdr:colOff>
      <xdr:row>42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04417E-6B74-C54A-80EF-235AC69B8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107950</xdr:colOff>
      <xdr:row>22</xdr:row>
      <xdr:rowOff>165100</xdr:rowOff>
    </xdr:from>
    <xdr:to>
      <xdr:col>60</xdr:col>
      <xdr:colOff>25400</xdr:colOff>
      <xdr:row>36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F51282-3359-DF4D-BDB1-33FEB4F58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nxialiu/Desktop/Copy%20of%20vintage.xlsx" TargetMode="External"/><Relationship Id="rId1" Type="http://schemas.openxmlformats.org/officeDocument/2006/relationships/externalLinkPath" Target="Copy%20of%20vi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1"/>
      <sheetName val="2"/>
      <sheetName val="3"/>
      <sheetName val="4"/>
      <sheetName val="5"/>
      <sheetName val="5.2"/>
      <sheetName val="6"/>
    </sheetNames>
    <sheetDataSet>
      <sheetData sheetId="0"/>
      <sheetData sheetId="1"/>
      <sheetData sheetId="2"/>
      <sheetData sheetId="3">
        <row r="2">
          <cell r="G2">
            <v>167.63792085612786</v>
          </cell>
        </row>
        <row r="3">
          <cell r="G3">
            <v>180.81089076167444</v>
          </cell>
        </row>
        <row r="4">
          <cell r="G4">
            <v>172.60359628579616</v>
          </cell>
        </row>
        <row r="5">
          <cell r="G5">
            <v>170.95630746174007</v>
          </cell>
        </row>
        <row r="6">
          <cell r="G6">
            <v>175.34050901040055</v>
          </cell>
        </row>
        <row r="7">
          <cell r="G7">
            <v>174.91675701293505</v>
          </cell>
        </row>
        <row r="8">
          <cell r="G8">
            <v>175.05592586933454</v>
          </cell>
        </row>
        <row r="9">
          <cell r="G9">
            <v>178.1999067368759</v>
          </cell>
        </row>
        <row r="10">
          <cell r="G10">
            <v>175.16279462455958</v>
          </cell>
        </row>
        <row r="11">
          <cell r="G11">
            <v>185.62868210620866</v>
          </cell>
        </row>
        <row r="12">
          <cell r="G12">
            <v>178.24489047941162</v>
          </cell>
        </row>
        <row r="13">
          <cell r="G13">
            <v>177.69775150390905</v>
          </cell>
        </row>
        <row r="14">
          <cell r="G14">
            <v>182.18501316182491</v>
          </cell>
        </row>
        <row r="15">
          <cell r="G15">
            <v>183.11911489905754</v>
          </cell>
        </row>
        <row r="16">
          <cell r="G16">
            <v>183.76331156289504</v>
          </cell>
        </row>
        <row r="17">
          <cell r="G17">
            <v>185.3627378658193</v>
          </cell>
        </row>
        <row r="18">
          <cell r="G18">
            <v>183.91694695112668</v>
          </cell>
        </row>
        <row r="19">
          <cell r="G19">
            <v>186.16140567805229</v>
          </cell>
        </row>
        <row r="20">
          <cell r="G20">
            <v>189.54331283783119</v>
          </cell>
        </row>
        <row r="21">
          <cell r="G21">
            <v>188.75121700419092</v>
          </cell>
        </row>
        <row r="22">
          <cell r="G22">
            <v>194.27146312905697</v>
          </cell>
        </row>
        <row r="23">
          <cell r="G23">
            <v>185.62868210620866</v>
          </cell>
        </row>
        <row r="24">
          <cell r="G24">
            <v>195.83484677672197</v>
          </cell>
        </row>
        <row r="25">
          <cell r="G25">
            <v>198.40040216455864</v>
          </cell>
        </row>
        <row r="26">
          <cell r="G26">
            <v>195.34666810507463</v>
          </cell>
        </row>
        <row r="27">
          <cell r="G27">
            <v>196.19905167756164</v>
          </cell>
        </row>
        <row r="28">
          <cell r="G28">
            <v>197.1549698954137</v>
          </cell>
        </row>
        <row r="29">
          <cell r="G29">
            <v>196.88788218908266</v>
          </cell>
        </row>
        <row r="30">
          <cell r="G30">
            <v>200.11688528360932</v>
          </cell>
        </row>
        <row r="31">
          <cell r="G31">
            <v>199.90486515764005</v>
          </cell>
        </row>
        <row r="32">
          <cell r="G32">
            <v>200.40885306420367</v>
          </cell>
        </row>
        <row r="33">
          <cell r="G33">
            <v>203.99199850142372</v>
          </cell>
        </row>
        <row r="34">
          <cell r="G34">
            <v>200.64101929722278</v>
          </cell>
        </row>
        <row r="35">
          <cell r="G35">
            <v>211.33111501322216</v>
          </cell>
        </row>
        <row r="36">
          <cell r="G36">
            <v>202.87082929564613</v>
          </cell>
        </row>
        <row r="37">
          <cell r="G37">
            <v>202.71345438552731</v>
          </cell>
        </row>
      </sheetData>
      <sheetData sheetId="4">
        <row r="2">
          <cell r="P2">
            <v>-2.7327763763850896</v>
          </cell>
          <cell r="AV2">
            <v>242</v>
          </cell>
        </row>
        <row r="3">
          <cell r="P3">
            <v>9.4188968968734059</v>
          </cell>
          <cell r="AV3">
            <v>235</v>
          </cell>
        </row>
        <row r="4">
          <cell r="P4">
            <v>0.19030578870706449</v>
          </cell>
          <cell r="AV4">
            <v>232</v>
          </cell>
        </row>
        <row r="5">
          <cell r="P5">
            <v>-2.4782796676370822</v>
          </cell>
          <cell r="AV5">
            <v>178</v>
          </cell>
        </row>
        <row r="6">
          <cell r="P6">
            <v>0.88462524873534676</v>
          </cell>
          <cell r="AV6">
            <v>184</v>
          </cell>
        </row>
        <row r="7">
          <cell r="P7">
            <v>-0.5604233810182393</v>
          </cell>
          <cell r="AV7">
            <v>140</v>
          </cell>
        </row>
        <row r="8">
          <cell r="P8">
            <v>-1.4425511569068021</v>
          </cell>
          <cell r="AV8">
            <v>145</v>
          </cell>
        </row>
        <row r="9">
          <cell r="P9">
            <v>0.6801330783465005</v>
          </cell>
          <cell r="AV9">
            <v>152</v>
          </cell>
        </row>
        <row r="10">
          <cell r="P10">
            <v>-3.3782756662578777</v>
          </cell>
          <cell r="AV10">
            <v>110</v>
          </cell>
        </row>
        <row r="11">
          <cell r="P11">
            <v>6.0663151831031144</v>
          </cell>
          <cell r="AV11">
            <v>130</v>
          </cell>
        </row>
        <row r="12">
          <cell r="P12">
            <v>-2.338773075981976</v>
          </cell>
          <cell r="AV12">
            <v>152</v>
          </cell>
        </row>
        <row r="13">
          <cell r="P13">
            <v>-3.907208683772609</v>
          </cell>
          <cell r="AV13">
            <v>206</v>
          </cell>
        </row>
        <row r="14">
          <cell r="P14">
            <v>-0.44124365814479916</v>
          </cell>
          <cell r="AV14">
            <v>263</v>
          </cell>
        </row>
        <row r="15">
          <cell r="P15">
            <v>-0.52843855320026023</v>
          </cell>
          <cell r="AV15">
            <v>238</v>
          </cell>
        </row>
        <row r="16">
          <cell r="P16">
            <v>-0.90553852165081139</v>
          </cell>
          <cell r="AV16">
            <v>247</v>
          </cell>
        </row>
        <row r="17">
          <cell r="P17">
            <v>-0.32740885101461004</v>
          </cell>
          <cell r="AV17">
            <v>193</v>
          </cell>
        </row>
        <row r="18">
          <cell r="P18">
            <v>-2.7944963979952888</v>
          </cell>
          <cell r="AV18">
            <v>193</v>
          </cell>
        </row>
        <row r="19">
          <cell r="P19">
            <v>-1.5713343033577587</v>
          </cell>
          <cell r="AV19">
            <v>149</v>
          </cell>
        </row>
        <row r="20">
          <cell r="P20">
            <v>0.78927622413308995</v>
          </cell>
          <cell r="AV20">
            <v>157</v>
          </cell>
        </row>
        <row r="21">
          <cell r="P21">
            <v>-1.024116241795241</v>
          </cell>
          <cell r="AV21">
            <v>161</v>
          </cell>
        </row>
        <row r="22">
          <cell r="P22">
            <v>3.4748332507827229</v>
          </cell>
          <cell r="AV22">
            <v>122</v>
          </cell>
        </row>
        <row r="23">
          <cell r="P23">
            <v>-6.1892444043536443</v>
          </cell>
          <cell r="AV23">
            <v>130</v>
          </cell>
        </row>
        <row r="24">
          <cell r="P24">
            <v>2.9956236338716167</v>
          </cell>
          <cell r="AV24">
            <v>167</v>
          </cell>
        </row>
        <row r="25">
          <cell r="P25">
            <v>4.539882389420228</v>
          </cell>
          <cell r="W25">
            <v>1.3888888888888888</v>
          </cell>
          <cell r="X25">
            <v>167.63792085612786</v>
          </cell>
          <cell r="AV25">
            <v>230</v>
          </cell>
        </row>
        <row r="26">
          <cell r="P26">
            <v>0.46485169764812895</v>
          </cell>
          <cell r="W26">
            <v>4.1666666666666661</v>
          </cell>
          <cell r="X26">
            <v>170.95630746174007</v>
          </cell>
          <cell r="AV26">
            <v>282</v>
          </cell>
        </row>
        <row r="27">
          <cell r="P27">
            <v>0.29593863784708674</v>
          </cell>
          <cell r="W27">
            <v>6.9444444444444446</v>
          </cell>
          <cell r="X27">
            <v>172.60359628579616</v>
          </cell>
          <cell r="AV27">
            <v>255</v>
          </cell>
        </row>
        <row r="28">
          <cell r="P28">
            <v>0.23056022341108928</v>
          </cell>
          <cell r="W28">
            <v>9.7222222222222214</v>
          </cell>
          <cell r="X28">
            <v>174.91675701293505</v>
          </cell>
          <cell r="AV28">
            <v>265</v>
          </cell>
        </row>
        <row r="29">
          <cell r="P29">
            <v>-1.0578241152080352</v>
          </cell>
          <cell r="W29">
            <v>12.5</v>
          </cell>
          <cell r="X29">
            <v>175.05592586933454</v>
          </cell>
          <cell r="AV29">
            <v>205</v>
          </cell>
        </row>
        <row r="30">
          <cell r="P30">
            <v>1.1498823470305695</v>
          </cell>
          <cell r="W30">
            <v>15.277777777777779</v>
          </cell>
          <cell r="X30">
            <v>175.16279462455958</v>
          </cell>
          <cell r="AV30">
            <v>210</v>
          </cell>
        </row>
        <row r="31">
          <cell r="P31">
            <v>-8.343441122676154E-2</v>
          </cell>
          <cell r="W31">
            <v>18.055555555555554</v>
          </cell>
          <cell r="X31">
            <v>175.34050901040055</v>
          </cell>
          <cell r="AV31">
            <v>160</v>
          </cell>
        </row>
        <row r="32">
          <cell r="P32">
            <v>-0.60074313695119486</v>
          </cell>
          <cell r="W32">
            <v>20.833333333333332</v>
          </cell>
          <cell r="X32">
            <v>177.69775150390905</v>
          </cell>
          <cell r="AV32">
            <v>166</v>
          </cell>
        </row>
        <row r="33">
          <cell r="P33">
            <v>1.961105667980803</v>
          </cell>
          <cell r="W33">
            <v>23.611111111111111</v>
          </cell>
          <cell r="X33">
            <v>178.1999067368759</v>
          </cell>
          <cell r="AV33">
            <v>174</v>
          </cell>
        </row>
        <row r="34">
          <cell r="P34">
            <v>-2.411170168508221</v>
          </cell>
          <cell r="W34">
            <v>26.388888888888889</v>
          </cell>
          <cell r="X34">
            <v>178.24489047941162</v>
          </cell>
          <cell r="AV34">
            <v>126</v>
          </cell>
        </row>
        <row r="35">
          <cell r="P35">
            <v>7.2576289152030995</v>
          </cell>
          <cell r="W35">
            <v>29.166666666666668</v>
          </cell>
          <cell r="X35">
            <v>180.81089076167444</v>
          </cell>
          <cell r="AV35">
            <v>148</v>
          </cell>
        </row>
        <row r="36">
          <cell r="P36">
            <v>-2.2239534346609844</v>
          </cell>
          <cell r="W36">
            <v>31.944444444444443</v>
          </cell>
          <cell r="X36">
            <v>182.18501316182491</v>
          </cell>
          <cell r="AV36">
            <v>173</v>
          </cell>
        </row>
        <row r="37">
          <cell r="P37">
            <v>-3.4026249770678874</v>
          </cell>
          <cell r="W37">
            <v>34.722222222222214</v>
          </cell>
          <cell r="X37">
            <v>183.11911489905754</v>
          </cell>
          <cell r="AV37">
            <v>235</v>
          </cell>
        </row>
        <row r="38">
          <cell r="W38">
            <v>37.499999999999993</v>
          </cell>
          <cell r="X38">
            <v>183.76331156289504</v>
          </cell>
          <cell r="AV38">
            <v>289.88624724714862</v>
          </cell>
        </row>
        <row r="39">
          <cell r="W39">
            <v>40.277777777777771</v>
          </cell>
          <cell r="X39">
            <v>183.91694695112668</v>
          </cell>
          <cell r="AV39">
            <v>266.20300148602428</v>
          </cell>
        </row>
        <row r="40">
          <cell r="W40">
            <v>43.05555555555555</v>
          </cell>
          <cell r="X40">
            <v>185.3627378658193</v>
          </cell>
          <cell r="AV40">
            <v>271.27660316723501</v>
          </cell>
        </row>
        <row r="41">
          <cell r="W41">
            <v>45.833333333333329</v>
          </cell>
          <cell r="X41">
            <v>185.62868210620866</v>
          </cell>
          <cell r="AV41">
            <v>215.25980764808105</v>
          </cell>
        </row>
        <row r="42">
          <cell r="W42">
            <v>48.611111111111107</v>
          </cell>
          <cell r="X42">
            <v>185.62868210620866</v>
          </cell>
          <cell r="AV42">
            <v>218.92538823432062</v>
          </cell>
        </row>
        <row r="43">
          <cell r="W43">
            <v>51.388888888888886</v>
          </cell>
          <cell r="X43">
            <v>186.16140567805229</v>
          </cell>
          <cell r="AV43">
            <v>172.92531800304744</v>
          </cell>
        </row>
        <row r="44">
          <cell r="W44">
            <v>54.166666666666664</v>
          </cell>
          <cell r="X44">
            <v>188.75121700419092</v>
          </cell>
          <cell r="AV44">
            <v>179.25864679488313</v>
          </cell>
        </row>
        <row r="45">
          <cell r="W45">
            <v>56.944444444444443</v>
          </cell>
          <cell r="X45">
            <v>189.54331283783119</v>
          </cell>
          <cell r="AV45">
            <v>185.59197983454101</v>
          </cell>
        </row>
        <row r="46">
          <cell r="W46">
            <v>59.722222222222214</v>
          </cell>
          <cell r="X46">
            <v>194.27146312905697</v>
          </cell>
          <cell r="AV46">
            <v>142.59197981555047</v>
          </cell>
        </row>
        <row r="47">
          <cell r="W47">
            <v>62.499999999999993</v>
          </cell>
          <cell r="X47">
            <v>195.34666810507463</v>
          </cell>
          <cell r="AV47">
            <v>159.25864648098917</v>
          </cell>
        </row>
        <row r="48">
          <cell r="W48">
            <v>65.277777777777771</v>
          </cell>
          <cell r="X48">
            <v>195.83484677672197</v>
          </cell>
          <cell r="AV48">
            <v>187.25864648090976</v>
          </cell>
        </row>
        <row r="49">
          <cell r="W49">
            <v>68.055555555555543</v>
          </cell>
          <cell r="X49">
            <v>196.19905167756164</v>
          </cell>
          <cell r="AV49">
            <v>246.92531314757127</v>
          </cell>
        </row>
        <row r="50">
          <cell r="W50">
            <v>70.833333333333329</v>
          </cell>
          <cell r="X50">
            <v>196.88788218908266</v>
          </cell>
        </row>
        <row r="51">
          <cell r="W51">
            <v>73.6111111111111</v>
          </cell>
          <cell r="X51">
            <v>197.1549698954137</v>
          </cell>
        </row>
        <row r="52">
          <cell r="W52">
            <v>76.388888888888886</v>
          </cell>
          <cell r="X52">
            <v>198.40040216455864</v>
          </cell>
        </row>
        <row r="53">
          <cell r="W53">
            <v>79.166666666666657</v>
          </cell>
          <cell r="X53">
            <v>199.90486515764005</v>
          </cell>
        </row>
        <row r="54">
          <cell r="W54">
            <v>81.944444444444443</v>
          </cell>
          <cell r="X54">
            <v>200.11688528360932</v>
          </cell>
        </row>
        <row r="55">
          <cell r="W55">
            <v>84.722222222222214</v>
          </cell>
          <cell r="X55">
            <v>200.40885306420367</v>
          </cell>
        </row>
        <row r="56">
          <cell r="W56">
            <v>87.5</v>
          </cell>
          <cell r="X56">
            <v>200.64101929722278</v>
          </cell>
        </row>
        <row r="57">
          <cell r="W57">
            <v>90.277777777777771</v>
          </cell>
          <cell r="X57">
            <v>202.71345438552731</v>
          </cell>
        </row>
        <row r="58">
          <cell r="W58">
            <v>93.055555555555543</v>
          </cell>
          <cell r="X58">
            <v>202.87082929564613</v>
          </cell>
        </row>
        <row r="59">
          <cell r="W59">
            <v>95.833333333333329</v>
          </cell>
          <cell r="X59">
            <v>203.99199850142372</v>
          </cell>
        </row>
        <row r="60">
          <cell r="W60">
            <v>98.6111111111111</v>
          </cell>
          <cell r="X60">
            <v>211.33111501322216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BBDE-A094-4849-A743-C5495CD8A566}">
  <dimension ref="A1:BT72"/>
  <sheetViews>
    <sheetView tabSelected="1" topLeftCell="AT1" workbookViewId="0">
      <selection activeCell="AU9" sqref="AU9"/>
    </sheetView>
  </sheetViews>
  <sheetFormatPr baseColWidth="10" defaultRowHeight="16" x14ac:dyDescent="0.2"/>
  <cols>
    <col min="1" max="2" width="12.1640625" bestFit="1" customWidth="1"/>
    <col min="3" max="3" width="12.1640625" customWidth="1"/>
    <col min="18" max="18" width="20.5" bestFit="1" customWidth="1"/>
    <col min="19" max="19" width="19.6640625" bestFit="1" customWidth="1"/>
    <col min="20" max="20" width="14.33203125" bestFit="1" customWidth="1"/>
    <col min="21" max="21" width="17.5" bestFit="1" customWidth="1"/>
    <col min="33" max="33" width="12.1640625" customWidth="1"/>
  </cols>
  <sheetData>
    <row r="1" spans="1:7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R1" t="s">
        <v>16</v>
      </c>
      <c r="AG1" s="1" t="s">
        <v>2</v>
      </c>
      <c r="AH1" s="3" t="s">
        <v>15</v>
      </c>
      <c r="AI1" s="2" t="s">
        <v>17</v>
      </c>
      <c r="AJ1" s="2" t="s">
        <v>18</v>
      </c>
      <c r="AK1" s="2" t="s">
        <v>19</v>
      </c>
      <c r="AL1" s="2"/>
      <c r="AO1" s="4"/>
      <c r="AP1" s="4" t="s">
        <v>15</v>
      </c>
      <c r="AQ1" s="4" t="s">
        <v>17</v>
      </c>
      <c r="AR1" s="4" t="s">
        <v>18</v>
      </c>
      <c r="AS1" s="4" t="s">
        <v>19</v>
      </c>
      <c r="AV1" s="1" t="s">
        <v>20</v>
      </c>
      <c r="AW1" s="1" t="s">
        <v>2</v>
      </c>
      <c r="AX1" s="1" t="s">
        <v>21</v>
      </c>
      <c r="AY1" s="2" t="s">
        <v>3</v>
      </c>
      <c r="AZ1" s="2" t="s">
        <v>4</v>
      </c>
      <c r="BA1" s="2" t="s">
        <v>5</v>
      </c>
      <c r="BB1" s="2" t="s">
        <v>6</v>
      </c>
      <c r="BC1" s="2" t="s">
        <v>7</v>
      </c>
      <c r="BD1" s="2" t="s">
        <v>8</v>
      </c>
      <c r="BE1" s="2" t="s">
        <v>9</v>
      </c>
      <c r="BF1" s="2" t="s">
        <v>10</v>
      </c>
      <c r="BG1" s="2" t="s">
        <v>11</v>
      </c>
      <c r="BH1" s="2" t="s">
        <v>12</v>
      </c>
      <c r="BI1" s="2" t="s">
        <v>13</v>
      </c>
      <c r="BL1" t="s">
        <v>16</v>
      </c>
    </row>
    <row r="2" spans="1:72" ht="17" thickBot="1" x14ac:dyDescent="0.25">
      <c r="A2" s="2">
        <v>1.4435874578025338</v>
      </c>
      <c r="B2" s="2">
        <v>167.63792085612786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f>$S$17+$S$18*C2</f>
        <v>170.37069723251295</v>
      </c>
      <c r="P2">
        <f>B2-O2</f>
        <v>-2.7327763763850896</v>
      </c>
      <c r="AF2" s="5">
        <v>45323</v>
      </c>
      <c r="AG2" s="2">
        <v>1</v>
      </c>
      <c r="AH2">
        <v>-2.7327763763850896</v>
      </c>
      <c r="AO2" t="s">
        <v>15</v>
      </c>
      <c r="AP2">
        <v>1</v>
      </c>
      <c r="AV2">
        <v>242</v>
      </c>
      <c r="AW2" s="2">
        <v>1</v>
      </c>
      <c r="AX2">
        <v>0</v>
      </c>
      <c r="AY2" s="2">
        <v>1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72" x14ac:dyDescent="0.2">
      <c r="A3" s="2">
        <v>1.2997004716366993</v>
      </c>
      <c r="B3" s="2">
        <v>180.81089076167444</v>
      </c>
      <c r="C3" s="2">
        <v>2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f t="shared" ref="O3:O37" si="0">$S$17+$S$18*C3</f>
        <v>171.39199386480104</v>
      </c>
      <c r="P3">
        <f t="shared" ref="P3:P37" si="1">B3-O3</f>
        <v>9.4188968968734059</v>
      </c>
      <c r="R3" s="6" t="s">
        <v>22</v>
      </c>
      <c r="S3" s="6"/>
      <c r="AF3" s="5">
        <v>45324</v>
      </c>
      <c r="AG3" s="2">
        <v>2</v>
      </c>
      <c r="AH3">
        <v>9.4188968968734059</v>
      </c>
      <c r="AI3">
        <f>AH2</f>
        <v>-2.7327763763850896</v>
      </c>
      <c r="AO3" t="s">
        <v>17</v>
      </c>
      <c r="AP3">
        <v>-0.3247452905563602</v>
      </c>
      <c r="AQ3">
        <v>1</v>
      </c>
      <c r="AV3">
        <v>235</v>
      </c>
      <c r="AW3" s="2">
        <v>2</v>
      </c>
      <c r="AX3">
        <f>AV2</f>
        <v>242</v>
      </c>
      <c r="AY3" s="2">
        <v>0</v>
      </c>
      <c r="AZ3" s="2">
        <v>1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L3" s="6" t="s">
        <v>22</v>
      </c>
      <c r="BM3" s="6"/>
    </row>
    <row r="4" spans="1:72" x14ac:dyDescent="0.2">
      <c r="A4" s="2">
        <v>1.3441203137845146</v>
      </c>
      <c r="B4" s="2">
        <v>172.60359628579616</v>
      </c>
      <c r="C4" s="2">
        <v>3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>
        <f t="shared" si="0"/>
        <v>172.41329049708909</v>
      </c>
      <c r="P4">
        <f t="shared" si="1"/>
        <v>0.19030578870706449</v>
      </c>
      <c r="R4" t="s">
        <v>23</v>
      </c>
      <c r="S4">
        <v>0.95939265467027268</v>
      </c>
      <c r="AG4" s="2">
        <v>3</v>
      </c>
      <c r="AH4">
        <v>0.19030578870706449</v>
      </c>
      <c r="AI4">
        <f t="shared" ref="AI4:AI37" si="2">AH3</f>
        <v>9.4188968968734059</v>
      </c>
      <c r="AJ4">
        <f>AH2</f>
        <v>-2.7327763763850896</v>
      </c>
      <c r="AO4" t="s">
        <v>18</v>
      </c>
      <c r="AP4">
        <v>-0.11642411106519346</v>
      </c>
      <c r="AQ4">
        <v>-0.35865743789717019</v>
      </c>
      <c r="AR4">
        <v>1</v>
      </c>
      <c r="AV4">
        <v>232</v>
      </c>
      <c r="AW4" s="2">
        <v>3</v>
      </c>
      <c r="AX4">
        <f t="shared" ref="AX4:AX37" si="3">AV3</f>
        <v>235</v>
      </c>
      <c r="AY4" s="2">
        <v>0</v>
      </c>
      <c r="AZ4" s="2">
        <v>0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L4" t="s">
        <v>23</v>
      </c>
      <c r="BM4">
        <v>0.99776493361702823</v>
      </c>
    </row>
    <row r="5" spans="1:72" ht="17" thickBot="1" x14ac:dyDescent="0.25">
      <c r="A5" s="2">
        <v>1.041201711962785</v>
      </c>
      <c r="B5" s="2">
        <v>170.95630746174007</v>
      </c>
      <c r="C5" s="2">
        <v>4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>
        <f t="shared" si="0"/>
        <v>173.43458712937715</v>
      </c>
      <c r="P5">
        <f t="shared" si="1"/>
        <v>-2.4782796676370822</v>
      </c>
      <c r="R5" t="s">
        <v>24</v>
      </c>
      <c r="S5">
        <v>0.92043426583527299</v>
      </c>
      <c r="AG5" s="2">
        <v>4</v>
      </c>
      <c r="AH5">
        <v>-2.4782796676370822</v>
      </c>
      <c r="AI5">
        <f t="shared" si="2"/>
        <v>0.19030578870706449</v>
      </c>
      <c r="AJ5">
        <f t="shared" ref="AJ5:AJ37" si="4">AH3</f>
        <v>9.4188968968734059</v>
      </c>
      <c r="AK5">
        <f>AH2</f>
        <v>-2.7327763763850896</v>
      </c>
      <c r="AO5" s="7" t="s">
        <v>19</v>
      </c>
      <c r="AP5" s="7">
        <v>0.1319339913574081</v>
      </c>
      <c r="AQ5" s="7">
        <v>-3.9650927040721047E-2</v>
      </c>
      <c r="AR5" s="7">
        <v>-0.33568979432596474</v>
      </c>
      <c r="AS5" s="7">
        <v>1</v>
      </c>
      <c r="AV5">
        <v>178</v>
      </c>
      <c r="AW5" s="2">
        <v>4</v>
      </c>
      <c r="AX5">
        <f t="shared" si="3"/>
        <v>232</v>
      </c>
      <c r="AY5" s="2">
        <v>0</v>
      </c>
      <c r="AZ5" s="2">
        <v>0</v>
      </c>
      <c r="BA5" s="2">
        <v>0</v>
      </c>
      <c r="BB5" s="2">
        <v>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L5" t="s">
        <v>24</v>
      </c>
      <c r="BM5">
        <v>0.99553486275579284</v>
      </c>
    </row>
    <row r="6" spans="1:72" x14ac:dyDescent="0.2">
      <c r="A6" s="2">
        <v>1.0493867106835295</v>
      </c>
      <c r="B6" s="2">
        <v>175.34050901040055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>
        <f t="shared" si="0"/>
        <v>174.45588376166521</v>
      </c>
      <c r="P6">
        <f t="shared" si="1"/>
        <v>0.88462524873534676</v>
      </c>
      <c r="R6" t="s">
        <v>25</v>
      </c>
      <c r="S6">
        <v>0.91809409718336932</v>
      </c>
      <c r="AG6" s="2">
        <v>5</v>
      </c>
      <c r="AH6">
        <v>0.88462524873534676</v>
      </c>
      <c r="AI6">
        <f t="shared" si="2"/>
        <v>-2.4782796676370822</v>
      </c>
      <c r="AJ6">
        <f t="shared" si="4"/>
        <v>0.19030578870706449</v>
      </c>
      <c r="AK6">
        <f t="shared" ref="AK6:AK37" si="5">AH3</f>
        <v>9.4188968968734059</v>
      </c>
      <c r="AV6">
        <v>184</v>
      </c>
      <c r="AW6" s="2">
        <v>5</v>
      </c>
      <c r="AX6">
        <f t="shared" si="3"/>
        <v>178</v>
      </c>
      <c r="AY6" s="2">
        <v>0</v>
      </c>
      <c r="AZ6" s="2">
        <v>0</v>
      </c>
      <c r="BA6" s="2">
        <v>0</v>
      </c>
      <c r="BB6" s="2">
        <v>0</v>
      </c>
      <c r="BC6" s="2">
        <v>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L6" t="s">
        <v>25</v>
      </c>
      <c r="BM6">
        <v>0.99289637256603414</v>
      </c>
    </row>
    <row r="7" spans="1:72" x14ac:dyDescent="0.2">
      <c r="A7" s="2">
        <v>0.80038072046834852</v>
      </c>
      <c r="B7" s="2">
        <v>174.91675701293505</v>
      </c>
      <c r="C7" s="2">
        <v>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>
        <f t="shared" si="0"/>
        <v>175.47718039395329</v>
      </c>
      <c r="P7">
        <f t="shared" si="1"/>
        <v>-0.5604233810182393</v>
      </c>
      <c r="R7" t="s">
        <v>26</v>
      </c>
      <c r="S7">
        <v>3.2097750803559868</v>
      </c>
      <c r="AG7" s="2">
        <v>6</v>
      </c>
      <c r="AH7">
        <v>-0.5604233810182393</v>
      </c>
      <c r="AI7">
        <f t="shared" si="2"/>
        <v>0.88462524873534676</v>
      </c>
      <c r="AJ7">
        <f t="shared" si="4"/>
        <v>-2.4782796676370822</v>
      </c>
      <c r="AK7">
        <f t="shared" si="5"/>
        <v>0.19030578870706449</v>
      </c>
      <c r="AV7">
        <v>140</v>
      </c>
      <c r="AW7" s="2">
        <v>6</v>
      </c>
      <c r="AX7">
        <f t="shared" si="3"/>
        <v>184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L7" t="s">
        <v>26</v>
      </c>
      <c r="BM7">
        <v>3.9749917027301298</v>
      </c>
    </row>
    <row r="8" spans="1:72" ht="17" thickBot="1" x14ac:dyDescent="0.25">
      <c r="A8" s="2">
        <v>0.82830672129449123</v>
      </c>
      <c r="B8" s="2">
        <v>175.05592586933454</v>
      </c>
      <c r="C8" s="2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>
        <f t="shared" si="0"/>
        <v>176.49847702624135</v>
      </c>
      <c r="P8">
        <f t="shared" si="1"/>
        <v>-1.4425511569068021</v>
      </c>
      <c r="R8" s="7" t="s">
        <v>27</v>
      </c>
      <c r="S8" s="7">
        <v>36</v>
      </c>
      <c r="AG8" s="2">
        <v>7</v>
      </c>
      <c r="AH8">
        <v>-1.4425511569068021</v>
      </c>
      <c r="AI8">
        <f t="shared" si="2"/>
        <v>-0.5604233810182393</v>
      </c>
      <c r="AJ8">
        <f t="shared" si="4"/>
        <v>0.88462524873534676</v>
      </c>
      <c r="AK8">
        <f t="shared" si="5"/>
        <v>-2.4782796676370822</v>
      </c>
      <c r="AV8">
        <v>145</v>
      </c>
      <c r="AW8" s="2">
        <v>7</v>
      </c>
      <c r="AX8">
        <f t="shared" si="3"/>
        <v>140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0</v>
      </c>
      <c r="BG8" s="2">
        <v>0</v>
      </c>
      <c r="BH8" s="2">
        <v>0</v>
      </c>
      <c r="BI8" s="2">
        <v>0</v>
      </c>
      <c r="BL8" s="7" t="s">
        <v>27</v>
      </c>
      <c r="BM8" s="7">
        <v>36</v>
      </c>
    </row>
    <row r="9" spans="1:72" x14ac:dyDescent="0.2">
      <c r="A9" s="2">
        <v>0.8529746327221045</v>
      </c>
      <c r="B9" s="2">
        <v>178.1999067368759</v>
      </c>
      <c r="C9" s="2">
        <v>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>
        <f t="shared" si="0"/>
        <v>177.5197736585294</v>
      </c>
      <c r="P9">
        <f t="shared" si="1"/>
        <v>0.6801330783465005</v>
      </c>
      <c r="AG9" s="2">
        <v>8</v>
      </c>
      <c r="AH9">
        <v>0.6801330783465005</v>
      </c>
      <c r="AI9">
        <f t="shared" si="2"/>
        <v>-1.4425511569068021</v>
      </c>
      <c r="AJ9">
        <f t="shared" si="4"/>
        <v>-0.5604233810182393</v>
      </c>
      <c r="AK9">
        <f t="shared" si="5"/>
        <v>0.88462524873534676</v>
      </c>
      <c r="AV9">
        <v>152</v>
      </c>
      <c r="AW9" s="2">
        <v>8</v>
      </c>
      <c r="AX9">
        <f t="shared" si="3"/>
        <v>145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</v>
      </c>
      <c r="BG9" s="2">
        <v>0</v>
      </c>
      <c r="BH9" s="2">
        <v>0</v>
      </c>
      <c r="BI9" s="2">
        <v>0</v>
      </c>
    </row>
    <row r="10" spans="1:72" ht="17" thickBot="1" x14ac:dyDescent="0.25">
      <c r="A10" s="2">
        <v>0.62798724030278119</v>
      </c>
      <c r="B10" s="2">
        <v>175.16279462455958</v>
      </c>
      <c r="C10" s="2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>
        <f t="shared" si="0"/>
        <v>178.54107029081746</v>
      </c>
      <c r="P10">
        <f t="shared" si="1"/>
        <v>-3.3782756662578777</v>
      </c>
      <c r="R10" t="s">
        <v>28</v>
      </c>
      <c r="AG10" s="2">
        <v>9</v>
      </c>
      <c r="AH10">
        <v>-3.3782756662578777</v>
      </c>
      <c r="AI10">
        <f t="shared" si="2"/>
        <v>0.6801330783465005</v>
      </c>
      <c r="AJ10">
        <f t="shared" si="4"/>
        <v>-1.4425511569068021</v>
      </c>
      <c r="AK10">
        <f t="shared" si="5"/>
        <v>-0.5604233810182393</v>
      </c>
      <c r="AV10">
        <v>110</v>
      </c>
      <c r="AW10" s="2">
        <v>9</v>
      </c>
      <c r="AX10">
        <f t="shared" si="3"/>
        <v>152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1</v>
      </c>
      <c r="BH10" s="2">
        <v>0</v>
      </c>
      <c r="BI10" s="2">
        <v>0</v>
      </c>
      <c r="BL10" t="s">
        <v>28</v>
      </c>
    </row>
    <row r="11" spans="1:72" x14ac:dyDescent="0.2">
      <c r="A11" s="2">
        <v>0.70032280854970275</v>
      </c>
      <c r="B11" s="2">
        <v>185.62868210620866</v>
      </c>
      <c r="C11" s="2">
        <v>10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>
        <f t="shared" si="0"/>
        <v>179.56236692310554</v>
      </c>
      <c r="P11">
        <f t="shared" si="1"/>
        <v>6.0663151831031144</v>
      </c>
      <c r="R11" s="4"/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AG11" s="2">
        <v>10</v>
      </c>
      <c r="AH11">
        <v>6.0663151831031144</v>
      </c>
      <c r="AI11">
        <f t="shared" si="2"/>
        <v>-3.3782756662578777</v>
      </c>
      <c r="AJ11">
        <f t="shared" si="4"/>
        <v>0.6801330783465005</v>
      </c>
      <c r="AK11">
        <f t="shared" si="5"/>
        <v>-1.4425511569068021</v>
      </c>
      <c r="AV11">
        <v>130</v>
      </c>
      <c r="AW11" s="2">
        <v>10</v>
      </c>
      <c r="AX11">
        <f t="shared" si="3"/>
        <v>110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1</v>
      </c>
      <c r="BI11" s="2">
        <v>0</v>
      </c>
      <c r="BL11" s="4"/>
      <c r="BM11" s="4" t="s">
        <v>29</v>
      </c>
      <c r="BN11" s="4" t="s">
        <v>30</v>
      </c>
      <c r="BO11" s="4" t="s">
        <v>31</v>
      </c>
      <c r="BP11" s="4" t="s">
        <v>32</v>
      </c>
      <c r="BQ11" s="4" t="s">
        <v>33</v>
      </c>
    </row>
    <row r="12" spans="1:72" x14ac:dyDescent="0.2">
      <c r="A12" s="2">
        <v>0.85275936713348277</v>
      </c>
      <c r="B12" s="2">
        <v>178.24489047941162</v>
      </c>
      <c r="C12" s="2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>
        <f t="shared" si="0"/>
        <v>180.5836635553936</v>
      </c>
      <c r="P12">
        <f t="shared" si="1"/>
        <v>-2.338773075981976</v>
      </c>
      <c r="R12" t="s">
        <v>34</v>
      </c>
      <c r="S12">
        <v>1</v>
      </c>
      <c r="T12">
        <v>4052.2368612126229</v>
      </c>
      <c r="U12">
        <v>4052.2368612126229</v>
      </c>
      <c r="V12">
        <v>393.31962894490346</v>
      </c>
      <c r="W12">
        <v>2.8994629753659619E-20</v>
      </c>
      <c r="AG12" s="2">
        <v>11</v>
      </c>
      <c r="AH12">
        <v>-2.338773075981976</v>
      </c>
      <c r="AI12">
        <f t="shared" si="2"/>
        <v>6.0663151831031144</v>
      </c>
      <c r="AJ12">
        <f t="shared" si="4"/>
        <v>-3.3782756662578777</v>
      </c>
      <c r="AK12">
        <f t="shared" si="5"/>
        <v>0.6801330783465005</v>
      </c>
      <c r="AV12">
        <v>152</v>
      </c>
      <c r="AW12" s="2">
        <v>11</v>
      </c>
      <c r="AX12">
        <f t="shared" si="3"/>
        <v>130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L12" t="s">
        <v>34</v>
      </c>
      <c r="BM12">
        <v>13</v>
      </c>
      <c r="BN12">
        <v>77502.693256746526</v>
      </c>
      <c r="BO12">
        <v>5961.745635134348</v>
      </c>
      <c r="BP12">
        <v>377.31232301713499</v>
      </c>
      <c r="BQ12">
        <v>1.0248558489287004E-22</v>
      </c>
    </row>
    <row r="13" spans="1:72" x14ac:dyDescent="0.2">
      <c r="A13" s="2">
        <v>1.1592718436590255</v>
      </c>
      <c r="B13" s="2">
        <v>177.69775150390905</v>
      </c>
      <c r="C13" s="2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>
        <f t="shared" si="0"/>
        <v>181.60496018768166</v>
      </c>
      <c r="P13">
        <f t="shared" si="1"/>
        <v>-3.907208683772609</v>
      </c>
      <c r="R13" t="s">
        <v>35</v>
      </c>
      <c r="S13">
        <v>34</v>
      </c>
      <c r="T13">
        <v>350.29030626012553</v>
      </c>
      <c r="U13">
        <v>10.302656066474281</v>
      </c>
      <c r="AG13" s="2">
        <v>12</v>
      </c>
      <c r="AH13">
        <v>-3.907208683772609</v>
      </c>
      <c r="AI13">
        <f t="shared" si="2"/>
        <v>-2.338773075981976</v>
      </c>
      <c r="AJ13">
        <f t="shared" si="4"/>
        <v>6.0663151831031144</v>
      </c>
      <c r="AK13">
        <f t="shared" si="5"/>
        <v>-3.3782756662578777</v>
      </c>
      <c r="AV13">
        <v>206</v>
      </c>
      <c r="AW13" s="2">
        <v>12</v>
      </c>
      <c r="AX13">
        <f t="shared" si="3"/>
        <v>152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L13" t="s">
        <v>35</v>
      </c>
      <c r="BM13">
        <v>22</v>
      </c>
      <c r="BN13">
        <v>347.61229880901431</v>
      </c>
      <c r="BO13">
        <v>15.800559036773377</v>
      </c>
    </row>
    <row r="14" spans="1:72" ht="17" thickBot="1" x14ac:dyDescent="0.25">
      <c r="A14" s="2">
        <v>1.4435874578025338</v>
      </c>
      <c r="B14" s="2">
        <v>182.18501316182491</v>
      </c>
      <c r="C14" s="2">
        <v>13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>
        <f t="shared" si="0"/>
        <v>182.62625681996971</v>
      </c>
      <c r="P14">
        <f t="shared" si="1"/>
        <v>-0.44124365814479916</v>
      </c>
      <c r="R14" s="7" t="s">
        <v>36</v>
      </c>
      <c r="S14" s="7">
        <v>35</v>
      </c>
      <c r="T14" s="7">
        <v>4402.5271674727483</v>
      </c>
      <c r="U14" s="7"/>
      <c r="V14" s="7"/>
      <c r="W14" s="7"/>
      <c r="AG14" s="2">
        <v>13</v>
      </c>
      <c r="AH14">
        <v>-0.44124365814479916</v>
      </c>
      <c r="AI14">
        <f t="shared" si="2"/>
        <v>-3.907208683772609</v>
      </c>
      <c r="AJ14">
        <f t="shared" si="4"/>
        <v>-2.338773075981976</v>
      </c>
      <c r="AK14">
        <f t="shared" si="5"/>
        <v>6.0663151831031144</v>
      </c>
      <c r="AV14">
        <v>263</v>
      </c>
      <c r="AW14" s="2">
        <v>13</v>
      </c>
      <c r="AX14">
        <f t="shared" si="3"/>
        <v>206</v>
      </c>
      <c r="AY14" s="2">
        <v>1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L14" s="7" t="s">
        <v>36</v>
      </c>
      <c r="BM14" s="7">
        <v>35</v>
      </c>
      <c r="BN14" s="7">
        <v>77850.305555555547</v>
      </c>
      <c r="BO14" s="7"/>
      <c r="BP14" s="7"/>
      <c r="BQ14" s="7"/>
    </row>
    <row r="15" spans="1:72" ht="17" thickBot="1" x14ac:dyDescent="0.25">
      <c r="A15" s="2">
        <v>1.2997004716366993</v>
      </c>
      <c r="B15" s="2">
        <v>183.11911489905754</v>
      </c>
      <c r="C15" s="2">
        <v>14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>
        <f t="shared" si="0"/>
        <v>183.6475534522578</v>
      </c>
      <c r="P15">
        <f t="shared" si="1"/>
        <v>-0.52843855320026023</v>
      </c>
      <c r="AG15" s="2">
        <v>14</v>
      </c>
      <c r="AH15">
        <v>-0.52843855320026023</v>
      </c>
      <c r="AI15">
        <f t="shared" si="2"/>
        <v>-0.44124365814479916</v>
      </c>
      <c r="AJ15">
        <f t="shared" si="4"/>
        <v>-3.907208683772609</v>
      </c>
      <c r="AK15">
        <f t="shared" si="5"/>
        <v>-2.338773075981976</v>
      </c>
      <c r="AV15">
        <v>238</v>
      </c>
      <c r="AW15" s="2">
        <v>14</v>
      </c>
      <c r="AX15">
        <f t="shared" si="3"/>
        <v>263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72" x14ac:dyDescent="0.2">
      <c r="A16" s="2">
        <v>1.3441203137845146</v>
      </c>
      <c r="B16" s="2">
        <v>183.76331156289504</v>
      </c>
      <c r="C16" s="2">
        <v>15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>
        <f t="shared" si="0"/>
        <v>184.66885008454585</v>
      </c>
      <c r="P16">
        <f t="shared" si="1"/>
        <v>-0.90553852165081139</v>
      </c>
      <c r="R16" s="4"/>
      <c r="S16" s="4" t="s">
        <v>37</v>
      </c>
      <c r="T16" s="4" t="s">
        <v>26</v>
      </c>
      <c r="U16" s="4" t="s">
        <v>38</v>
      </c>
      <c r="V16" s="4" t="s">
        <v>39</v>
      </c>
      <c r="W16" s="4" t="s">
        <v>40</v>
      </c>
      <c r="X16" s="4" t="s">
        <v>41</v>
      </c>
      <c r="Y16" s="4" t="s">
        <v>42</v>
      </c>
      <c r="Z16" s="4" t="s">
        <v>43</v>
      </c>
      <c r="AG16" s="2">
        <v>15</v>
      </c>
      <c r="AH16">
        <v>-0.90553852165081139</v>
      </c>
      <c r="AI16">
        <f t="shared" si="2"/>
        <v>-0.52843855320026023</v>
      </c>
      <c r="AJ16">
        <f t="shared" si="4"/>
        <v>-0.44124365814479916</v>
      </c>
      <c r="AK16">
        <f t="shared" si="5"/>
        <v>-3.907208683772609</v>
      </c>
      <c r="AV16">
        <v>247</v>
      </c>
      <c r="AW16" s="2">
        <v>15</v>
      </c>
      <c r="AX16">
        <f t="shared" si="3"/>
        <v>238</v>
      </c>
      <c r="AY16" s="2">
        <v>0</v>
      </c>
      <c r="AZ16" s="2">
        <v>0</v>
      </c>
      <c r="BA16" s="2">
        <v>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L16" s="4"/>
      <c r="BM16" s="4" t="s">
        <v>37</v>
      </c>
      <c r="BN16" s="4" t="s">
        <v>26</v>
      </c>
      <c r="BO16" s="4" t="s">
        <v>38</v>
      </c>
      <c r="BP16" s="4" t="s">
        <v>39</v>
      </c>
      <c r="BQ16" s="4" t="s">
        <v>40</v>
      </c>
      <c r="BR16" s="4" t="s">
        <v>41</v>
      </c>
      <c r="BS16" s="4" t="s">
        <v>42</v>
      </c>
      <c r="BT16" s="4" t="s">
        <v>43</v>
      </c>
    </row>
    <row r="17" spans="1:72" x14ac:dyDescent="0.2">
      <c r="A17" s="2">
        <v>1.041201711962785</v>
      </c>
      <c r="B17" s="2">
        <v>185.3627378658193</v>
      </c>
      <c r="C17" s="2">
        <v>16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>
        <f t="shared" si="0"/>
        <v>185.69014671683391</v>
      </c>
      <c r="P17">
        <f t="shared" si="1"/>
        <v>-0.32740885101461004</v>
      </c>
      <c r="R17" t="s">
        <v>44</v>
      </c>
      <c r="S17">
        <v>169.3494006002249</v>
      </c>
      <c r="T17">
        <v>1.0926114725394374</v>
      </c>
      <c r="U17">
        <v>154.99507817415153</v>
      </c>
      <c r="V17">
        <v>4.8661875154444771E-50</v>
      </c>
      <c r="W17">
        <v>167.12894693433907</v>
      </c>
      <c r="X17">
        <v>171.56985426611072</v>
      </c>
      <c r="Y17">
        <v>167.12894693433907</v>
      </c>
      <c r="Z17">
        <v>171.56985426611072</v>
      </c>
      <c r="AG17" s="2">
        <v>16</v>
      </c>
      <c r="AH17">
        <v>-0.32740885101461004</v>
      </c>
      <c r="AI17">
        <f t="shared" si="2"/>
        <v>-0.90553852165081139</v>
      </c>
      <c r="AJ17">
        <f t="shared" si="4"/>
        <v>-0.52843855320026023</v>
      </c>
      <c r="AK17">
        <f t="shared" si="5"/>
        <v>-0.44124365814479916</v>
      </c>
      <c r="AV17">
        <v>193</v>
      </c>
      <c r="AW17" s="2">
        <v>16</v>
      </c>
      <c r="AX17">
        <f t="shared" si="3"/>
        <v>247</v>
      </c>
      <c r="AY17" s="2">
        <v>0</v>
      </c>
      <c r="AZ17" s="2">
        <v>0</v>
      </c>
      <c r="BA17" s="2">
        <v>0</v>
      </c>
      <c r="BB17" s="2">
        <v>1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L17" t="s">
        <v>44</v>
      </c>
      <c r="BM17">
        <v>191.30699580361335</v>
      </c>
      <c r="BN17">
        <v>4.1597671522237896</v>
      </c>
      <c r="BO17">
        <v>45.989832796612582</v>
      </c>
      <c r="BP17">
        <v>2.3254622065616063E-23</v>
      </c>
      <c r="BQ17">
        <v>182.6801667378646</v>
      </c>
      <c r="BR17">
        <v>199.9338248693621</v>
      </c>
      <c r="BS17">
        <v>182.6801667378646</v>
      </c>
      <c r="BT17">
        <v>199.9338248693621</v>
      </c>
    </row>
    <row r="18" spans="1:72" ht="17" thickBot="1" x14ac:dyDescent="0.25">
      <c r="A18" s="2">
        <v>1.0493867106835295</v>
      </c>
      <c r="B18" s="2">
        <v>183.91694695112668</v>
      </c>
      <c r="C18" s="2">
        <v>17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>
        <f t="shared" si="0"/>
        <v>186.71144334912196</v>
      </c>
      <c r="P18">
        <f t="shared" si="1"/>
        <v>-2.7944963979952888</v>
      </c>
      <c r="R18" s="7" t="s">
        <v>2</v>
      </c>
      <c r="S18" s="7">
        <v>1.0212966322880637</v>
      </c>
      <c r="T18" s="7">
        <v>5.1496663226046048E-2</v>
      </c>
      <c r="U18" s="7">
        <v>19.832287536865319</v>
      </c>
      <c r="V18" s="7">
        <v>2.8994629753659619E-20</v>
      </c>
      <c r="W18" s="7">
        <v>0.91664282119874785</v>
      </c>
      <c r="X18" s="7">
        <v>1.1259504433773795</v>
      </c>
      <c r="Y18" s="7">
        <v>0.91664282119874785</v>
      </c>
      <c r="Z18" s="7">
        <v>1.1259504433773795</v>
      </c>
      <c r="AG18" s="2">
        <v>17</v>
      </c>
      <c r="AH18">
        <v>-2.7944963979952888</v>
      </c>
      <c r="AI18">
        <f t="shared" si="2"/>
        <v>-0.32740885101461004</v>
      </c>
      <c r="AJ18">
        <f t="shared" si="4"/>
        <v>-0.90553852165081139</v>
      </c>
      <c r="AK18">
        <f t="shared" si="5"/>
        <v>-0.52843855320026023</v>
      </c>
      <c r="AV18">
        <v>193</v>
      </c>
      <c r="AW18" s="2">
        <v>17</v>
      </c>
      <c r="AX18">
        <f t="shared" si="3"/>
        <v>193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L18" t="s">
        <v>2</v>
      </c>
      <c r="BM18">
        <v>0.90644285938635527</v>
      </c>
      <c r="BN18">
        <v>8.0034920514753985E-2</v>
      </c>
      <c r="BO18">
        <v>11.325592048526589</v>
      </c>
      <c r="BP18">
        <v>1.1972899347320177E-10</v>
      </c>
      <c r="BQ18">
        <v>0.74046059323896762</v>
      </c>
      <c r="BR18">
        <v>1.0724251255337429</v>
      </c>
      <c r="BS18">
        <v>0.74046059323896762</v>
      </c>
      <c r="BT18">
        <v>1.0724251255337429</v>
      </c>
    </row>
    <row r="19" spans="1:72" x14ac:dyDescent="0.2">
      <c r="A19" s="2">
        <v>0.80038072046834852</v>
      </c>
      <c r="B19" s="2">
        <v>186.16140567805229</v>
      </c>
      <c r="C19" s="2">
        <v>18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>
        <f t="shared" si="0"/>
        <v>187.73273998141005</v>
      </c>
      <c r="P19">
        <f t="shared" si="1"/>
        <v>-1.5713343033577587</v>
      </c>
      <c r="AG19" s="2">
        <v>18</v>
      </c>
      <c r="AH19">
        <v>-1.5713343033577587</v>
      </c>
      <c r="AI19">
        <f t="shared" si="2"/>
        <v>-2.7944963979952888</v>
      </c>
      <c r="AJ19">
        <f t="shared" si="4"/>
        <v>-0.32740885101461004</v>
      </c>
      <c r="AK19">
        <f t="shared" si="5"/>
        <v>-0.90553852165081139</v>
      </c>
      <c r="AV19">
        <v>149</v>
      </c>
      <c r="AW19" s="2">
        <v>18</v>
      </c>
      <c r="AX19">
        <f t="shared" si="3"/>
        <v>193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L19" t="s">
        <v>21</v>
      </c>
      <c r="BM19">
        <v>6.4664891693785323E-2</v>
      </c>
      <c r="BN19">
        <v>2.4964670065417176E-2</v>
      </c>
      <c r="BO19">
        <v>2.5902562110509804</v>
      </c>
      <c r="BP19">
        <v>1.6701929326673571E-2</v>
      </c>
      <c r="BQ19">
        <v>1.2891334796006806E-2</v>
      </c>
      <c r="BR19">
        <v>0.11643844859156384</v>
      </c>
      <c r="BS19">
        <v>1.2891334796006806E-2</v>
      </c>
      <c r="BT19">
        <v>0.11643844859156384</v>
      </c>
    </row>
    <row r="20" spans="1:72" x14ac:dyDescent="0.2">
      <c r="A20" s="2">
        <v>0.82830672129449123</v>
      </c>
      <c r="B20" s="2">
        <v>189.54331283783119</v>
      </c>
      <c r="C20" s="2">
        <v>19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>
        <f t="shared" si="0"/>
        <v>188.7540366136981</v>
      </c>
      <c r="P20">
        <f t="shared" si="1"/>
        <v>0.78927622413308995</v>
      </c>
      <c r="AG20" s="2">
        <v>19</v>
      </c>
      <c r="AH20">
        <v>0.78927622413308995</v>
      </c>
      <c r="AI20">
        <f t="shared" si="2"/>
        <v>-1.5713343033577587</v>
      </c>
      <c r="AJ20">
        <f t="shared" si="4"/>
        <v>-2.7944963979952888</v>
      </c>
      <c r="AK20">
        <f t="shared" si="5"/>
        <v>-0.32740885101461004</v>
      </c>
      <c r="AV20">
        <v>157</v>
      </c>
      <c r="AW20" s="2">
        <v>19</v>
      </c>
      <c r="AX20">
        <f t="shared" si="3"/>
        <v>149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L20" t="s">
        <v>3</v>
      </c>
      <c r="BM20">
        <v>49.844616098200532</v>
      </c>
      <c r="BN20">
        <v>3.3297047533493362</v>
      </c>
      <c r="BO20">
        <v>14.969680434297377</v>
      </c>
      <c r="BP20">
        <v>5.1163538383907632E-13</v>
      </c>
      <c r="BQ20">
        <v>42.939231086157328</v>
      </c>
      <c r="BR20">
        <v>56.750001110243737</v>
      </c>
      <c r="BS20">
        <v>42.939231086157328</v>
      </c>
      <c r="BT20">
        <v>56.750001110243737</v>
      </c>
    </row>
    <row r="21" spans="1:72" x14ac:dyDescent="0.2">
      <c r="A21" s="2">
        <v>0.8529746327221045</v>
      </c>
      <c r="B21" s="2">
        <v>188.75121700419092</v>
      </c>
      <c r="C21" s="2">
        <v>20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>
        <f t="shared" si="0"/>
        <v>189.77533324598616</v>
      </c>
      <c r="P21">
        <f t="shared" si="1"/>
        <v>-1.024116241795241</v>
      </c>
      <c r="AG21" s="2">
        <v>20</v>
      </c>
      <c r="AH21">
        <v>-1.024116241795241</v>
      </c>
      <c r="AI21">
        <f t="shared" si="2"/>
        <v>0.78927622413308995</v>
      </c>
      <c r="AJ21">
        <f t="shared" si="4"/>
        <v>-1.5713343033577587</v>
      </c>
      <c r="AK21">
        <f t="shared" si="5"/>
        <v>-2.7944963979952888</v>
      </c>
      <c r="AV21">
        <v>161</v>
      </c>
      <c r="AW21" s="2">
        <v>20</v>
      </c>
      <c r="AX21">
        <f t="shared" si="3"/>
        <v>157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1</v>
      </c>
      <c r="BG21" s="2">
        <v>0</v>
      </c>
      <c r="BH21" s="2">
        <v>0</v>
      </c>
      <c r="BI21" s="2">
        <v>0</v>
      </c>
      <c r="BL21" t="s">
        <v>4</v>
      </c>
      <c r="BM21">
        <v>21.705714243974679</v>
      </c>
      <c r="BN21">
        <v>4.3935186462601203</v>
      </c>
      <c r="BO21">
        <v>4.9403942469781388</v>
      </c>
      <c r="BP21">
        <v>6.0870514339184929E-5</v>
      </c>
      <c r="BQ21">
        <v>12.594114250161661</v>
      </c>
      <c r="BR21">
        <v>30.817314237787699</v>
      </c>
      <c r="BS21">
        <v>12.594114250161661</v>
      </c>
      <c r="BT21">
        <v>30.817314237787699</v>
      </c>
    </row>
    <row r="22" spans="1:72" x14ac:dyDescent="0.2">
      <c r="A22" s="2">
        <v>0.62798724030278119</v>
      </c>
      <c r="B22" s="2">
        <v>194.27146312905697</v>
      </c>
      <c r="C22" s="2">
        <v>21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>
        <f t="shared" si="0"/>
        <v>190.79662987827425</v>
      </c>
      <c r="P22">
        <f t="shared" si="1"/>
        <v>3.4748332507827229</v>
      </c>
      <c r="R22" t="s">
        <v>45</v>
      </c>
      <c r="W22" t="s">
        <v>46</v>
      </c>
      <c r="AG22" s="2">
        <v>21</v>
      </c>
      <c r="AH22">
        <v>3.4748332507827229</v>
      </c>
      <c r="AI22">
        <f t="shared" si="2"/>
        <v>-1.024116241795241</v>
      </c>
      <c r="AJ22">
        <f t="shared" si="4"/>
        <v>0.78927622413308995</v>
      </c>
      <c r="AK22">
        <f t="shared" si="5"/>
        <v>-1.5713343033577587</v>
      </c>
      <c r="AV22">
        <v>122</v>
      </c>
      <c r="AW22" s="2">
        <v>21</v>
      </c>
      <c r="AX22">
        <f t="shared" si="3"/>
        <v>161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1</v>
      </c>
      <c r="BH22" s="2">
        <v>0</v>
      </c>
      <c r="BI22" s="2">
        <v>0</v>
      </c>
      <c r="BL22" t="s">
        <v>5</v>
      </c>
      <c r="BM22">
        <v>27.404347587899448</v>
      </c>
      <c r="BN22">
        <v>4.0525480462774484</v>
      </c>
      <c r="BO22">
        <v>6.7622511257015887</v>
      </c>
      <c r="BP22">
        <v>8.5299114614606786E-7</v>
      </c>
      <c r="BQ22">
        <v>18.999877338337569</v>
      </c>
      <c r="BR22">
        <v>35.808817837461326</v>
      </c>
      <c r="BS22">
        <v>18.999877338337569</v>
      </c>
      <c r="BT22">
        <v>35.808817837461326</v>
      </c>
    </row>
    <row r="23" spans="1:72" ht="17" thickBot="1" x14ac:dyDescent="0.25">
      <c r="A23" s="2">
        <v>0.70032280854970275</v>
      </c>
      <c r="B23" s="2">
        <v>185.62868210620866</v>
      </c>
      <c r="C23" s="2">
        <v>22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>
        <f t="shared" si="0"/>
        <v>191.8179265105623</v>
      </c>
      <c r="P23">
        <f t="shared" si="1"/>
        <v>-6.1892444043536443</v>
      </c>
      <c r="AG23" s="2">
        <v>22</v>
      </c>
      <c r="AH23">
        <v>-6.1892444043536443</v>
      </c>
      <c r="AI23">
        <f t="shared" si="2"/>
        <v>3.4748332507827229</v>
      </c>
      <c r="AJ23">
        <f t="shared" si="4"/>
        <v>-1.024116241795241</v>
      </c>
      <c r="AK23">
        <f t="shared" si="5"/>
        <v>0.78927622413308995</v>
      </c>
      <c r="AV23">
        <v>130</v>
      </c>
      <c r="AW23" s="2">
        <v>22</v>
      </c>
      <c r="AX23">
        <f t="shared" si="3"/>
        <v>122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1</v>
      </c>
      <c r="BI23" s="2">
        <v>0</v>
      </c>
      <c r="BL23" t="s">
        <v>6</v>
      </c>
      <c r="BM23">
        <v>-29.846974693853767</v>
      </c>
      <c r="BN23">
        <v>4.0960922770497836</v>
      </c>
      <c r="BO23">
        <v>-7.2866948972524357</v>
      </c>
      <c r="BP23">
        <v>2.6836081255201077E-7</v>
      </c>
      <c r="BQ23">
        <v>-38.34175015087699</v>
      </c>
      <c r="BR23">
        <v>-21.352199236830547</v>
      </c>
      <c r="BS23">
        <v>-38.34175015087699</v>
      </c>
      <c r="BT23">
        <v>-21.352199236830547</v>
      </c>
    </row>
    <row r="24" spans="1:72" x14ac:dyDescent="0.2">
      <c r="A24" s="2">
        <v>0.85275936713348277</v>
      </c>
      <c r="B24" s="2">
        <v>195.83484677672197</v>
      </c>
      <c r="C24" s="2">
        <v>23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>
        <f t="shared" si="0"/>
        <v>192.83922314285036</v>
      </c>
      <c r="P24">
        <f t="shared" si="1"/>
        <v>2.9956236338716167</v>
      </c>
      <c r="R24" s="4" t="s">
        <v>47</v>
      </c>
      <c r="S24" s="4" t="s">
        <v>48</v>
      </c>
      <c r="T24" s="4" t="s">
        <v>49</v>
      </c>
      <c r="U24" s="4" t="s">
        <v>50</v>
      </c>
      <c r="W24" s="4" t="s">
        <v>51</v>
      </c>
      <c r="X24" s="4" t="s">
        <v>1</v>
      </c>
      <c r="AG24" s="2">
        <v>23</v>
      </c>
      <c r="AH24">
        <v>2.9956236338716167</v>
      </c>
      <c r="AI24">
        <f t="shared" si="2"/>
        <v>-6.1892444043536443</v>
      </c>
      <c r="AJ24">
        <f t="shared" si="4"/>
        <v>3.4748332507827229</v>
      </c>
      <c r="AK24">
        <f t="shared" si="5"/>
        <v>-1.024116241795241</v>
      </c>
      <c r="AV24">
        <v>167</v>
      </c>
      <c r="AW24" s="2">
        <v>23</v>
      </c>
      <c r="AX24">
        <f t="shared" si="3"/>
        <v>130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1</v>
      </c>
      <c r="BL24" t="s">
        <v>7</v>
      </c>
      <c r="BM24">
        <v>-23.465516951721487</v>
      </c>
      <c r="BN24">
        <v>3.42859330167953</v>
      </c>
      <c r="BO24">
        <v>-6.8440654481319418</v>
      </c>
      <c r="BP24">
        <v>7.105107738246893E-7</v>
      </c>
      <c r="BQ24">
        <v>-30.575984260870808</v>
      </c>
      <c r="BR24">
        <v>-16.355049642572165</v>
      </c>
      <c r="BS24">
        <v>-30.575984260870808</v>
      </c>
      <c r="BT24">
        <v>-16.355049642572165</v>
      </c>
    </row>
    <row r="25" spans="1:72" x14ac:dyDescent="0.2">
      <c r="A25" s="2">
        <v>1.1592718436590255</v>
      </c>
      <c r="B25" s="2">
        <v>198.40040216455864</v>
      </c>
      <c r="C25" s="2">
        <v>24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>
        <f t="shared" si="0"/>
        <v>193.86051977513841</v>
      </c>
      <c r="P25">
        <f t="shared" si="1"/>
        <v>4.539882389420228</v>
      </c>
      <c r="R25">
        <v>1</v>
      </c>
      <c r="S25">
        <v>170.37069723251295</v>
      </c>
      <c r="T25">
        <v>-2.7327763763850896</v>
      </c>
      <c r="U25">
        <v>-0.86382159590238883</v>
      </c>
      <c r="W25">
        <v>1.3888888888888888</v>
      </c>
      <c r="X25">
        <v>167.63792085612786</v>
      </c>
      <c r="AG25" s="2">
        <v>24</v>
      </c>
      <c r="AH25">
        <v>4.539882389420228</v>
      </c>
      <c r="AI25">
        <f t="shared" si="2"/>
        <v>2.9956236338716167</v>
      </c>
      <c r="AJ25">
        <f t="shared" si="4"/>
        <v>-6.1892444043536443</v>
      </c>
      <c r="AK25">
        <f t="shared" si="5"/>
        <v>3.4748332507827229</v>
      </c>
      <c r="AV25">
        <v>230</v>
      </c>
      <c r="AW25" s="2">
        <v>24</v>
      </c>
      <c r="AX25">
        <f t="shared" si="3"/>
        <v>167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L25" t="s">
        <v>8</v>
      </c>
      <c r="BM25">
        <v>-70.609064413985053</v>
      </c>
      <c r="BN25">
        <v>3.4344578965428281</v>
      </c>
      <c r="BO25">
        <v>-20.55901296244193</v>
      </c>
      <c r="BP25">
        <v>7.4830229295524762E-16</v>
      </c>
      <c r="BQ25">
        <v>-77.73169414847554</v>
      </c>
      <c r="BR25">
        <v>-63.486434679494572</v>
      </c>
      <c r="BS25">
        <v>-77.73169414847554</v>
      </c>
      <c r="BT25">
        <v>-63.486434679494572</v>
      </c>
    </row>
    <row r="26" spans="1:72" x14ac:dyDescent="0.2">
      <c r="A26" s="2">
        <v>1.4435874578025338</v>
      </c>
      <c r="B26" s="2">
        <v>195.34666810507463</v>
      </c>
      <c r="C26" s="2">
        <v>25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>
        <f t="shared" si="0"/>
        <v>194.8818164074265</v>
      </c>
      <c r="P26">
        <f t="shared" si="1"/>
        <v>0.46485169764812895</v>
      </c>
      <c r="R26">
        <v>2</v>
      </c>
      <c r="S26">
        <v>171.39199386480104</v>
      </c>
      <c r="T26">
        <v>9.4188968968734059</v>
      </c>
      <c r="U26">
        <v>2.9772822318743297</v>
      </c>
      <c r="W26">
        <v>4.1666666666666661</v>
      </c>
      <c r="X26">
        <v>170.95630746174007</v>
      </c>
      <c r="AG26" s="2">
        <v>25</v>
      </c>
      <c r="AH26">
        <v>0.46485169764812895</v>
      </c>
      <c r="AI26">
        <f t="shared" si="2"/>
        <v>4.539882389420228</v>
      </c>
      <c r="AJ26">
        <f t="shared" si="4"/>
        <v>2.9956236338716167</v>
      </c>
      <c r="AK26">
        <f t="shared" si="5"/>
        <v>-6.1892444043536443</v>
      </c>
      <c r="AV26">
        <v>282</v>
      </c>
      <c r="AW26" s="2">
        <v>25</v>
      </c>
      <c r="AX26">
        <f t="shared" si="3"/>
        <v>230</v>
      </c>
      <c r="AY26" s="2">
        <v>1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L26" t="s">
        <v>9</v>
      </c>
      <c r="BM26">
        <v>-62.207588922123932</v>
      </c>
      <c r="BN26">
        <v>3.2662914063508288</v>
      </c>
      <c r="BO26">
        <v>-19.045327309489387</v>
      </c>
      <c r="BP26">
        <v>3.6939560391259071E-15</v>
      </c>
      <c r="BQ26">
        <v>-68.981462701681281</v>
      </c>
      <c r="BR26">
        <v>-55.433715142566584</v>
      </c>
      <c r="BS26">
        <v>-68.981462701681281</v>
      </c>
      <c r="BT26">
        <v>-55.433715142566584</v>
      </c>
    </row>
    <row r="27" spans="1:72" x14ac:dyDescent="0.2">
      <c r="A27" s="2">
        <v>1.2997004716366993</v>
      </c>
      <c r="B27" s="2">
        <v>196.19905167756164</v>
      </c>
      <c r="C27" s="2">
        <v>26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>
        <f t="shared" si="0"/>
        <v>195.90311303971455</v>
      </c>
      <c r="P27">
        <f t="shared" si="1"/>
        <v>0.29593863784708674</v>
      </c>
      <c r="R27">
        <v>3</v>
      </c>
      <c r="S27">
        <v>172.41329049708909</v>
      </c>
      <c r="T27">
        <v>0.19030578870706449</v>
      </c>
      <c r="U27">
        <v>6.0155031904898966E-2</v>
      </c>
      <c r="W27">
        <v>6.9444444444444446</v>
      </c>
      <c r="X27">
        <v>172.60359628579616</v>
      </c>
      <c r="AG27" s="2">
        <v>26</v>
      </c>
      <c r="AH27">
        <v>0.29593863784708674</v>
      </c>
      <c r="AI27">
        <f t="shared" si="2"/>
        <v>0.46485169764812895</v>
      </c>
      <c r="AJ27">
        <f t="shared" si="4"/>
        <v>4.539882389420228</v>
      </c>
      <c r="AK27">
        <f t="shared" si="5"/>
        <v>2.9956236338716167</v>
      </c>
      <c r="AV27">
        <v>255</v>
      </c>
      <c r="AW27" s="2">
        <v>26</v>
      </c>
      <c r="AX27">
        <f t="shared" si="3"/>
        <v>282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L27" t="s">
        <v>10</v>
      </c>
      <c r="BM27">
        <v>-57.190242762237617</v>
      </c>
      <c r="BN27">
        <v>3.2569410707883586</v>
      </c>
      <c r="BO27">
        <v>-17.559495710616108</v>
      </c>
      <c r="BP27">
        <v>1.9843335963758016E-14</v>
      </c>
      <c r="BQ27">
        <v>-63.944725132696092</v>
      </c>
      <c r="BR27">
        <v>-50.435760391779141</v>
      </c>
      <c r="BS27">
        <v>-63.944725132696092</v>
      </c>
      <c r="BT27">
        <v>-50.435760391779141</v>
      </c>
    </row>
    <row r="28" spans="1:72" x14ac:dyDescent="0.2">
      <c r="A28" s="2">
        <v>1.3441203137845146</v>
      </c>
      <c r="B28" s="2">
        <v>197.1549698954137</v>
      </c>
      <c r="C28" s="2">
        <v>27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>
        <f t="shared" si="0"/>
        <v>196.92440967200261</v>
      </c>
      <c r="P28">
        <f t="shared" si="1"/>
        <v>0.23056022341108928</v>
      </c>
      <c r="R28">
        <v>4</v>
      </c>
      <c r="S28">
        <v>173.43458712937715</v>
      </c>
      <c r="T28">
        <v>-2.4782796676370822</v>
      </c>
      <c r="U28">
        <v>-0.78337602596760592</v>
      </c>
      <c r="W28">
        <v>9.7222222222222214</v>
      </c>
      <c r="X28">
        <v>174.91675701293505</v>
      </c>
      <c r="AG28" s="2">
        <v>27</v>
      </c>
      <c r="AH28">
        <v>0.23056022341108928</v>
      </c>
      <c r="AI28">
        <f t="shared" si="2"/>
        <v>0.29593863784708674</v>
      </c>
      <c r="AJ28">
        <f t="shared" si="4"/>
        <v>0.46485169764812895</v>
      </c>
      <c r="AK28">
        <f t="shared" si="5"/>
        <v>4.539882389420228</v>
      </c>
      <c r="AV28">
        <v>265</v>
      </c>
      <c r="AW28" s="2">
        <v>27</v>
      </c>
      <c r="AX28">
        <f t="shared" si="3"/>
        <v>255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L28" t="s">
        <v>11</v>
      </c>
      <c r="BM28">
        <v>-101.50622993568464</v>
      </c>
      <c r="BN28">
        <v>3.2530596861231063</v>
      </c>
      <c r="BO28">
        <v>-31.203310031073105</v>
      </c>
      <c r="BP28">
        <v>1.0416732357872791E-19</v>
      </c>
      <c r="BQ28">
        <v>-108.25266280701968</v>
      </c>
      <c r="BR28">
        <v>-94.759797064349613</v>
      </c>
      <c r="BS28">
        <v>-108.25266280701968</v>
      </c>
      <c r="BT28">
        <v>-94.759797064349613</v>
      </c>
    </row>
    <row r="29" spans="1:72" x14ac:dyDescent="0.2">
      <c r="A29" s="2">
        <v>1.041201711962785</v>
      </c>
      <c r="B29" s="2">
        <v>196.88788218908266</v>
      </c>
      <c r="C29" s="2">
        <v>28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>
        <f t="shared" si="0"/>
        <v>197.9457063042907</v>
      </c>
      <c r="P29">
        <f t="shared" si="1"/>
        <v>-1.0578241152080352</v>
      </c>
      <c r="R29">
        <v>5</v>
      </c>
      <c r="S29">
        <v>174.45588376166521</v>
      </c>
      <c r="T29">
        <v>0.88462524873534676</v>
      </c>
      <c r="U29">
        <v>0.2796271223439592</v>
      </c>
      <c r="W29">
        <v>12.5</v>
      </c>
      <c r="X29">
        <v>175.05592586933454</v>
      </c>
      <c r="AG29" s="2">
        <v>28</v>
      </c>
      <c r="AH29">
        <v>-1.0578241152080352</v>
      </c>
      <c r="AI29">
        <f t="shared" si="2"/>
        <v>0.23056022341108928</v>
      </c>
      <c r="AJ29">
        <f t="shared" si="4"/>
        <v>0.29593863784708674</v>
      </c>
      <c r="AK29">
        <f t="shared" si="5"/>
        <v>0.46485169764812895</v>
      </c>
      <c r="AV29">
        <v>205</v>
      </c>
      <c r="AW29" s="2">
        <v>28</v>
      </c>
      <c r="AX29">
        <f t="shared" si="3"/>
        <v>265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L29" t="s">
        <v>12</v>
      </c>
      <c r="BM29">
        <v>-82.965415785571508</v>
      </c>
      <c r="BN29">
        <v>3.4076021756453416</v>
      </c>
      <c r="BO29">
        <v>-24.347154247798681</v>
      </c>
      <c r="BP29">
        <v>2.1073712237408231E-17</v>
      </c>
      <c r="BQ29">
        <v>-90.032350163773543</v>
      </c>
      <c r="BR29">
        <v>-75.898481407369474</v>
      </c>
      <c r="BS29">
        <v>-90.032350163773543</v>
      </c>
      <c r="BT29">
        <v>-75.898481407369474</v>
      </c>
    </row>
    <row r="30" spans="1:72" ht="17" thickBot="1" x14ac:dyDescent="0.25">
      <c r="A30" s="2">
        <v>1.0493867106835295</v>
      </c>
      <c r="B30" s="2">
        <v>200.11688528360932</v>
      </c>
      <c r="C30" s="2">
        <v>29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>
        <f t="shared" si="0"/>
        <v>198.96700293657875</v>
      </c>
      <c r="P30">
        <f t="shared" si="1"/>
        <v>1.1498823470305695</v>
      </c>
      <c r="R30">
        <v>6</v>
      </c>
      <c r="S30">
        <v>175.47718039395329</v>
      </c>
      <c r="T30">
        <v>-0.5604233810182393</v>
      </c>
      <c r="U30">
        <v>-0.17714798164808571</v>
      </c>
      <c r="W30">
        <v>15.277777777777779</v>
      </c>
      <c r="X30">
        <v>175.16279462455958</v>
      </c>
      <c r="AG30" s="2">
        <v>29</v>
      </c>
      <c r="AH30">
        <v>1.1498823470305695</v>
      </c>
      <c r="AI30">
        <f t="shared" si="2"/>
        <v>-1.0578241152080352</v>
      </c>
      <c r="AJ30">
        <f t="shared" si="4"/>
        <v>0.23056022341108928</v>
      </c>
      <c r="AK30">
        <f t="shared" si="5"/>
        <v>0.29593863784708674</v>
      </c>
      <c r="AV30">
        <v>210</v>
      </c>
      <c r="AW30" s="2">
        <v>29</v>
      </c>
      <c r="AX30">
        <f t="shared" si="3"/>
        <v>205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L30" s="7" t="s">
        <v>13</v>
      </c>
      <c r="BM30" s="7">
        <v>-56.949606839854297</v>
      </c>
      <c r="BN30" s="7">
        <v>3.3119273086647638</v>
      </c>
      <c r="BO30" s="7">
        <v>-17.19530700171499</v>
      </c>
      <c r="BP30" s="7">
        <v>3.0536862785999825E-14</v>
      </c>
      <c r="BQ30" s="7">
        <v>-63.818123688150017</v>
      </c>
      <c r="BR30" s="7">
        <v>-50.081089991558578</v>
      </c>
      <c r="BS30" s="7">
        <v>-63.818123688150017</v>
      </c>
      <c r="BT30" s="7">
        <v>-50.081089991558578</v>
      </c>
    </row>
    <row r="31" spans="1:72" x14ac:dyDescent="0.2">
      <c r="A31" s="2">
        <v>0.80038072046834852</v>
      </c>
      <c r="B31" s="2">
        <v>199.90486515764005</v>
      </c>
      <c r="C31" s="2">
        <v>30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>
        <f t="shared" si="0"/>
        <v>199.98829956886681</v>
      </c>
      <c r="P31">
        <f t="shared" si="1"/>
        <v>-8.343441122676154E-2</v>
      </c>
      <c r="R31">
        <v>7</v>
      </c>
      <c r="S31">
        <v>176.49847702624135</v>
      </c>
      <c r="T31">
        <v>-1.4425511569068021</v>
      </c>
      <c r="U31">
        <v>-0.455985661065476</v>
      </c>
      <c r="W31">
        <v>18.055555555555554</v>
      </c>
      <c r="X31">
        <v>175.34050901040055</v>
      </c>
      <c r="AG31" s="2">
        <v>30</v>
      </c>
      <c r="AH31">
        <v>-8.343441122676154E-2</v>
      </c>
      <c r="AI31">
        <f t="shared" si="2"/>
        <v>1.1498823470305695</v>
      </c>
      <c r="AJ31">
        <f t="shared" si="4"/>
        <v>-1.0578241152080352</v>
      </c>
      <c r="AK31">
        <f t="shared" si="5"/>
        <v>0.23056022341108928</v>
      </c>
      <c r="AV31">
        <v>160</v>
      </c>
      <c r="AW31" s="2">
        <v>30</v>
      </c>
      <c r="AX31">
        <f t="shared" si="3"/>
        <v>210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</row>
    <row r="32" spans="1:72" x14ac:dyDescent="0.2">
      <c r="A32" s="2">
        <v>0.82830672129449123</v>
      </c>
      <c r="B32" s="2">
        <v>200.40885306420367</v>
      </c>
      <c r="C32" s="2">
        <v>31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>
        <f t="shared" si="0"/>
        <v>201.00959620115486</v>
      </c>
      <c r="P32">
        <f t="shared" si="1"/>
        <v>-0.60074313695119486</v>
      </c>
      <c r="R32">
        <v>8</v>
      </c>
      <c r="S32">
        <v>177.5197736585294</v>
      </c>
      <c r="T32">
        <v>0.6801330783465005</v>
      </c>
      <c r="U32">
        <v>0.21498782199677832</v>
      </c>
      <c r="W32">
        <v>20.833333333333332</v>
      </c>
      <c r="X32">
        <v>177.69775150390905</v>
      </c>
      <c r="AG32" s="2">
        <v>31</v>
      </c>
      <c r="AH32">
        <v>-0.60074313695119486</v>
      </c>
      <c r="AI32">
        <f t="shared" si="2"/>
        <v>-8.343441122676154E-2</v>
      </c>
      <c r="AJ32">
        <f t="shared" si="4"/>
        <v>1.1498823470305695</v>
      </c>
      <c r="AK32">
        <f t="shared" si="5"/>
        <v>-1.0578241152080352</v>
      </c>
      <c r="AV32">
        <v>166</v>
      </c>
      <c r="AW32" s="2">
        <v>31</v>
      </c>
      <c r="AX32">
        <f t="shared" si="3"/>
        <v>160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</row>
    <row r="33" spans="1:70" x14ac:dyDescent="0.2">
      <c r="A33" s="2">
        <v>0.8529746327221045</v>
      </c>
      <c r="B33" s="2">
        <v>203.99199850142372</v>
      </c>
      <c r="C33" s="2">
        <v>32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>
        <f t="shared" si="0"/>
        <v>202.03089283344292</v>
      </c>
      <c r="P33">
        <f t="shared" si="1"/>
        <v>1.961105667980803</v>
      </c>
      <c r="R33">
        <v>9</v>
      </c>
      <c r="S33">
        <v>178.54107029081746</v>
      </c>
      <c r="T33">
        <v>-3.3782756662578777</v>
      </c>
      <c r="U33">
        <v>-1.0678617916352564</v>
      </c>
      <c r="W33">
        <v>23.611111111111111</v>
      </c>
      <c r="X33">
        <v>178.1999067368759</v>
      </c>
      <c r="AG33" s="2">
        <v>32</v>
      </c>
      <c r="AH33">
        <v>1.961105667980803</v>
      </c>
      <c r="AI33">
        <f t="shared" si="2"/>
        <v>-0.60074313695119486</v>
      </c>
      <c r="AJ33">
        <f t="shared" si="4"/>
        <v>-8.343441122676154E-2</v>
      </c>
      <c r="AK33">
        <f t="shared" si="5"/>
        <v>1.1498823470305695</v>
      </c>
      <c r="AV33">
        <v>174</v>
      </c>
      <c r="AW33" s="2">
        <v>32</v>
      </c>
      <c r="AX33">
        <f t="shared" si="3"/>
        <v>166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</row>
    <row r="34" spans="1:70" x14ac:dyDescent="0.2">
      <c r="A34" s="2">
        <v>0.62798724030278119</v>
      </c>
      <c r="B34" s="2">
        <v>200.64101929722278</v>
      </c>
      <c r="C34" s="2">
        <v>33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>
        <f t="shared" si="0"/>
        <v>203.052189465731</v>
      </c>
      <c r="P34">
        <f t="shared" si="1"/>
        <v>-2.411170168508221</v>
      </c>
      <c r="R34">
        <v>10</v>
      </c>
      <c r="S34">
        <v>179.56236692310554</v>
      </c>
      <c r="T34">
        <v>6.0663151831031144</v>
      </c>
      <c r="U34">
        <v>1.917542213844357</v>
      </c>
      <c r="W34">
        <v>26.388888888888889</v>
      </c>
      <c r="X34">
        <v>178.24489047941162</v>
      </c>
      <c r="AG34" s="2">
        <v>33</v>
      </c>
      <c r="AH34">
        <v>-2.411170168508221</v>
      </c>
      <c r="AI34">
        <f t="shared" si="2"/>
        <v>1.961105667980803</v>
      </c>
      <c r="AJ34">
        <f t="shared" si="4"/>
        <v>-0.60074313695119486</v>
      </c>
      <c r="AK34">
        <f t="shared" si="5"/>
        <v>-8.343441122676154E-2</v>
      </c>
      <c r="AV34">
        <v>126</v>
      </c>
      <c r="AW34" s="2">
        <v>33</v>
      </c>
      <c r="AX34">
        <f t="shared" si="3"/>
        <v>174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1</v>
      </c>
      <c r="BH34" s="2">
        <v>0</v>
      </c>
      <c r="BI34" s="2">
        <v>0</v>
      </c>
      <c r="BL34" t="s">
        <v>45</v>
      </c>
      <c r="BQ34" t="s">
        <v>46</v>
      </c>
    </row>
    <row r="35" spans="1:70" ht="17" thickBot="1" x14ac:dyDescent="0.25">
      <c r="A35" s="2">
        <v>0.70032280854970275</v>
      </c>
      <c r="B35" s="2">
        <v>211.33111501322216</v>
      </c>
      <c r="C35" s="2">
        <v>34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>
        <f t="shared" si="0"/>
        <v>204.07348609801906</v>
      </c>
      <c r="P35">
        <f t="shared" si="1"/>
        <v>7.2576289152030995</v>
      </c>
      <c r="R35">
        <v>11</v>
      </c>
      <c r="S35">
        <v>180.5836635553936</v>
      </c>
      <c r="T35">
        <v>-2.338773075981976</v>
      </c>
      <c r="U35">
        <v>-0.73927845264116154</v>
      </c>
      <c r="W35">
        <v>29.166666666666668</v>
      </c>
      <c r="X35">
        <v>180.81089076167444</v>
      </c>
      <c r="AG35" s="2">
        <v>34</v>
      </c>
      <c r="AH35">
        <v>7.2576289152030995</v>
      </c>
      <c r="AI35">
        <f t="shared" si="2"/>
        <v>-2.411170168508221</v>
      </c>
      <c r="AJ35">
        <f t="shared" si="4"/>
        <v>1.961105667980803</v>
      </c>
      <c r="AK35">
        <f t="shared" si="5"/>
        <v>-0.60074313695119486</v>
      </c>
      <c r="AV35">
        <v>148</v>
      </c>
      <c r="AW35" s="2">
        <v>34</v>
      </c>
      <c r="AX35">
        <f t="shared" si="3"/>
        <v>126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</row>
    <row r="36" spans="1:70" x14ac:dyDescent="0.2">
      <c r="A36" s="2">
        <v>0.85275936713348277</v>
      </c>
      <c r="B36" s="2">
        <v>202.87082929564613</v>
      </c>
      <c r="C36" s="2">
        <v>35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>
        <f t="shared" si="0"/>
        <v>205.09478273030712</v>
      </c>
      <c r="P36">
        <f t="shared" si="1"/>
        <v>-2.2239534346609844</v>
      </c>
      <c r="R36">
        <v>12</v>
      </c>
      <c r="S36">
        <v>181.60496018768166</v>
      </c>
      <c r="T36">
        <v>-3.907208683772609</v>
      </c>
      <c r="U36">
        <v>-1.2350557732809235</v>
      </c>
      <c r="W36">
        <v>31.944444444444443</v>
      </c>
      <c r="X36">
        <v>182.18501316182491</v>
      </c>
      <c r="AG36" s="2">
        <v>35</v>
      </c>
      <c r="AH36">
        <v>-2.2239534346609844</v>
      </c>
      <c r="AI36">
        <f t="shared" si="2"/>
        <v>7.2576289152030995</v>
      </c>
      <c r="AJ36">
        <f t="shared" si="4"/>
        <v>-2.411170168508221</v>
      </c>
      <c r="AK36">
        <f t="shared" si="5"/>
        <v>1.961105667980803</v>
      </c>
      <c r="AV36">
        <v>173</v>
      </c>
      <c r="AW36" s="2">
        <v>35</v>
      </c>
      <c r="AX36">
        <f t="shared" si="3"/>
        <v>148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L36" s="4" t="s">
        <v>47</v>
      </c>
      <c r="BM36" s="4" t="s">
        <v>52</v>
      </c>
      <c r="BN36" s="4" t="s">
        <v>49</v>
      </c>
      <c r="BO36" s="4" t="s">
        <v>50</v>
      </c>
      <c r="BQ36" s="4" t="s">
        <v>51</v>
      </c>
      <c r="BR36" s="4" t="s">
        <v>20</v>
      </c>
    </row>
    <row r="37" spans="1:70" x14ac:dyDescent="0.2">
      <c r="A37" s="2">
        <v>1.1592718436590255</v>
      </c>
      <c r="B37" s="2">
        <v>202.71345438552731</v>
      </c>
      <c r="C37" s="2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>
        <f t="shared" si="0"/>
        <v>206.1160793625952</v>
      </c>
      <c r="P37">
        <f t="shared" si="1"/>
        <v>-3.4026249770678874</v>
      </c>
      <c r="R37">
        <v>13</v>
      </c>
      <c r="S37">
        <v>182.62625681996971</v>
      </c>
      <c r="T37">
        <v>-0.44124365814479916</v>
      </c>
      <c r="U37">
        <v>-0.1394756644759351</v>
      </c>
      <c r="W37">
        <v>34.722222222222214</v>
      </c>
      <c r="X37">
        <v>183.11911489905754</v>
      </c>
      <c r="AG37" s="2">
        <v>36</v>
      </c>
      <c r="AH37">
        <v>-3.4026249770678874</v>
      </c>
      <c r="AI37">
        <f t="shared" si="2"/>
        <v>-2.2239534346609844</v>
      </c>
      <c r="AJ37">
        <f t="shared" si="4"/>
        <v>7.2576289152030995</v>
      </c>
      <c r="AK37">
        <f t="shared" si="5"/>
        <v>-2.411170168508221</v>
      </c>
      <c r="AV37">
        <v>235</v>
      </c>
      <c r="AW37" s="2">
        <v>36</v>
      </c>
      <c r="AX37">
        <f t="shared" si="3"/>
        <v>173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L37">
        <v>1</v>
      </c>
      <c r="BM37">
        <v>242.05805476120022</v>
      </c>
      <c r="BN37">
        <v>-5.8054761200224902E-2</v>
      </c>
      <c r="BO37">
        <v>-1.8421470642085849E-2</v>
      </c>
      <c r="BQ37">
        <v>1.3888888888888888</v>
      </c>
      <c r="BR37">
        <v>110</v>
      </c>
    </row>
    <row r="38" spans="1:70" x14ac:dyDescent="0.2">
      <c r="R38">
        <v>14</v>
      </c>
      <c r="S38">
        <v>183.6475534522578</v>
      </c>
      <c r="T38">
        <v>-0.52843855320026023</v>
      </c>
      <c r="U38">
        <v>-0.16703768310732561</v>
      </c>
      <c r="W38">
        <v>37.499999999999993</v>
      </c>
      <c r="X38">
        <v>183.76331156289504</v>
      </c>
      <c r="AV38" s="8">
        <f>$BM$17+AW38*$BM$18+AX38*$BM$19+AY38*$BM$20+AZ38*$BM$21+BA38*$BM$22+BB38*$BM$23+BC38*$BM$24+BD38*$BM$25+BE38*$BM$26+BF38*$BM$27+BG38*$BM$28+BH38*$BM$29+BI38*$BM$30</f>
        <v>289.88624724714862</v>
      </c>
      <c r="AW38" s="9">
        <v>37</v>
      </c>
      <c r="AX38" s="9">
        <v>235</v>
      </c>
      <c r="AY38" s="9">
        <v>1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L38">
        <v>2</v>
      </c>
      <c r="BM38">
        <v>230.4744995562568</v>
      </c>
      <c r="BN38">
        <v>4.5255004437431978</v>
      </c>
      <c r="BO38">
        <v>1.4359954608656429</v>
      </c>
      <c r="BQ38">
        <v>4.1666666666666661</v>
      </c>
      <c r="BR38">
        <v>122</v>
      </c>
    </row>
    <row r="39" spans="1:70" x14ac:dyDescent="0.2">
      <c r="R39">
        <v>15</v>
      </c>
      <c r="S39">
        <v>184.66885008454585</v>
      </c>
      <c r="T39">
        <v>-0.90553852165081139</v>
      </c>
      <c r="U39">
        <v>-0.28623773891013271</v>
      </c>
      <c r="W39">
        <v>40.277777777777771</v>
      </c>
      <c r="X39">
        <v>183.91694695112668</v>
      </c>
      <c r="AV39" s="8">
        <f>$BM$17+AW39*$BM$18+AX39*$BM$19+AY39*$BM$20+AZ39*$BM$21+BA39*$BM$22+BB39*$BM$23+BC39*$BM$24+BD39*$BM$25+BE39*$BM$26+BF39*$BM$27+BG39*$BM$28+BH39*$BM$29+BI39*$BM$30</f>
        <v>266.20300148602428</v>
      </c>
      <c r="AW39" s="9">
        <v>38</v>
      </c>
      <c r="AX39" s="9">
        <f>AV38</f>
        <v>289.88624724714862</v>
      </c>
      <c r="AY39" s="9">
        <v>0</v>
      </c>
      <c r="AZ39" s="9">
        <v>1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L39">
        <v>3</v>
      </c>
      <c r="BM39">
        <v>236.62692151771142</v>
      </c>
      <c r="BN39">
        <v>-4.6269215177114233</v>
      </c>
      <c r="BO39">
        <v>-1.4681775816421081</v>
      </c>
      <c r="BQ39">
        <v>6.9444444444444446</v>
      </c>
      <c r="BR39">
        <v>126</v>
      </c>
    </row>
    <row r="40" spans="1:70" x14ac:dyDescent="0.2">
      <c r="R40">
        <v>16</v>
      </c>
      <c r="S40">
        <v>185.69014671683391</v>
      </c>
      <c r="T40">
        <v>-0.32740885101461004</v>
      </c>
      <c r="U40">
        <v>-0.10349285753491667</v>
      </c>
      <c r="W40">
        <v>43.05555555555555</v>
      </c>
      <c r="X40">
        <v>185.3627378658193</v>
      </c>
      <c r="AV40" s="8">
        <f>$BM$17+AW40*$BM$18+AX40*$BM$19+AY40*$BM$20+AZ40*$BM$21+BA40*$BM$22+BB40*$BM$23+BC40*$BM$24+BD40*$BM$25+BE40*$BM$26+BF40*$BM$27+BG40*$BM$28+BH40*$BM$29+BI40*$BM$30</f>
        <v>271.27660316723501</v>
      </c>
      <c r="AW40" s="9">
        <v>39</v>
      </c>
      <c r="AX40" s="9">
        <f>AV39</f>
        <v>266.20300148602428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L40">
        <v>4</v>
      </c>
      <c r="BM40">
        <v>180.08804742026319</v>
      </c>
      <c r="BN40">
        <v>-2.0880474202631945</v>
      </c>
      <c r="BO40">
        <v>-0.66256244029667144</v>
      </c>
      <c r="BQ40">
        <v>9.7222222222222214</v>
      </c>
      <c r="BR40">
        <v>130</v>
      </c>
    </row>
    <row r="41" spans="1:70" x14ac:dyDescent="0.2">
      <c r="R41">
        <v>17</v>
      </c>
      <c r="S41">
        <v>186.71144334912199</v>
      </c>
      <c r="T41">
        <v>-2.7944963979953172</v>
      </c>
      <c r="U41">
        <v>-0.88333109109094199</v>
      </c>
      <c r="W41">
        <v>45.833333333333329</v>
      </c>
      <c r="X41">
        <v>185.62868210620866</v>
      </c>
      <c r="AV41" s="8">
        <f t="shared" ref="AV41:AV49" si="6">$BM$17+AW41*$BM$18+AX41*$BM$19+AY41*$BM$20+AZ41*$BM$21+BA41*$BM$22+BB41*$BM$23+BC41*$BM$24+BD41*$BM$25+BE41*$BM$26+BF41*$BM$27+BG41*$BM$28+BH41*$BM$29+BI41*$BM$30</f>
        <v>215.25980764808105</v>
      </c>
      <c r="AW41" s="9">
        <v>40</v>
      </c>
      <c r="AX41" s="9">
        <f>AV40</f>
        <v>271.27660316723501</v>
      </c>
      <c r="AY41" s="9">
        <v>0</v>
      </c>
      <c r="AZ41" s="9">
        <v>0</v>
      </c>
      <c r="BA41" s="9">
        <v>0</v>
      </c>
      <c r="BB41" s="9">
        <v>1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L41">
        <v>5</v>
      </c>
      <c r="BM41">
        <v>183.88404387031741</v>
      </c>
      <c r="BN41">
        <v>0.11595612968258706</v>
      </c>
      <c r="BO41">
        <v>3.6794267938688924E-2</v>
      </c>
      <c r="BQ41">
        <v>12.5</v>
      </c>
      <c r="BR41">
        <v>130</v>
      </c>
    </row>
    <row r="42" spans="1:70" x14ac:dyDescent="0.2">
      <c r="R42">
        <v>18</v>
      </c>
      <c r="S42">
        <v>187.73273998141005</v>
      </c>
      <c r="T42">
        <v>-1.5713343033577587</v>
      </c>
      <c r="U42">
        <v>-0.49669358874441466</v>
      </c>
      <c r="W42">
        <v>48.611111111111107</v>
      </c>
      <c r="X42">
        <v>185.62868210620866</v>
      </c>
      <c r="AV42" s="8">
        <f t="shared" si="6"/>
        <v>218.92538823432062</v>
      </c>
      <c r="AW42" s="9">
        <v>41</v>
      </c>
      <c r="AX42" s="9">
        <f>AV41</f>
        <v>215.25980764808105</v>
      </c>
      <c r="AY42" s="9">
        <v>0</v>
      </c>
      <c r="AZ42" s="9">
        <v>0</v>
      </c>
      <c r="BA42" s="9">
        <v>0</v>
      </c>
      <c r="BB42" s="9">
        <v>0</v>
      </c>
      <c r="BC42" s="9">
        <v>1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L42">
        <v>6</v>
      </c>
      <c r="BM42">
        <v>138.03492861760293</v>
      </c>
      <c r="BN42">
        <v>1.9650713823970705</v>
      </c>
      <c r="BO42">
        <v>0.62354067146331571</v>
      </c>
      <c r="BQ42">
        <v>15.277777777777779</v>
      </c>
      <c r="BR42">
        <v>140</v>
      </c>
    </row>
    <row r="43" spans="1:70" x14ac:dyDescent="0.2">
      <c r="R43">
        <v>19</v>
      </c>
      <c r="S43">
        <v>188.7540366136981</v>
      </c>
      <c r="T43">
        <v>0.78927622413308995</v>
      </c>
      <c r="U43">
        <v>0.24948761026701083</v>
      </c>
      <c r="W43">
        <v>51.388888888888886</v>
      </c>
      <c r="X43">
        <v>186.16140567805229</v>
      </c>
      <c r="AV43" s="8">
        <f t="shared" si="6"/>
        <v>172.92531800304744</v>
      </c>
      <c r="AW43" s="9">
        <v>42</v>
      </c>
      <c r="AX43" s="9">
        <f>AV42</f>
        <v>218.92538823432062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1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L43">
        <v>7</v>
      </c>
      <c r="BM43">
        <v>144.49759173432383</v>
      </c>
      <c r="BN43">
        <v>0.50240826567616637</v>
      </c>
      <c r="BO43">
        <v>0.15942015650662794</v>
      </c>
      <c r="BQ43">
        <v>18.055555555555554</v>
      </c>
      <c r="BR43">
        <v>145</v>
      </c>
    </row>
    <row r="44" spans="1:70" x14ac:dyDescent="0.2">
      <c r="R44">
        <v>20</v>
      </c>
      <c r="S44">
        <v>189.77533324598616</v>
      </c>
      <c r="T44">
        <v>-1.024116241795241</v>
      </c>
      <c r="U44">
        <v>-0.32371976500592403</v>
      </c>
      <c r="W44">
        <v>54.166666666666664</v>
      </c>
      <c r="X44">
        <v>188.75121700419092</v>
      </c>
      <c r="AV44" s="8">
        <f t="shared" si="6"/>
        <v>179.25864679488313</v>
      </c>
      <c r="AW44" s="9">
        <v>43</v>
      </c>
      <c r="AX44" s="9">
        <f>AV43</f>
        <v>172.92531800304744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1</v>
      </c>
      <c r="BF44" s="9">
        <v>0</v>
      </c>
      <c r="BG44" s="9">
        <v>0</v>
      </c>
      <c r="BH44" s="9">
        <v>0</v>
      </c>
      <c r="BI44" s="9">
        <v>0</v>
      </c>
      <c r="BL44">
        <v>8</v>
      </c>
      <c r="BM44">
        <v>150.74470521206547</v>
      </c>
      <c r="BN44">
        <v>1.2552947879345311</v>
      </c>
      <c r="BO44">
        <v>0.39832006204186682</v>
      </c>
      <c r="BQ44">
        <v>20.833333333333332</v>
      </c>
      <c r="BR44">
        <v>148</v>
      </c>
    </row>
    <row r="45" spans="1:70" x14ac:dyDescent="0.2">
      <c r="R45">
        <v>21</v>
      </c>
      <c r="S45">
        <v>190.79662987827425</v>
      </c>
      <c r="T45">
        <v>3.4748332507827229</v>
      </c>
      <c r="U45">
        <v>1.0983833255161459</v>
      </c>
      <c r="W45">
        <v>56.944444444444443</v>
      </c>
      <c r="X45">
        <v>189.54331283783119</v>
      </c>
      <c r="AV45" s="8">
        <f t="shared" si="6"/>
        <v>185.59197983454101</v>
      </c>
      <c r="AW45" s="9">
        <v>44</v>
      </c>
      <c r="AX45" s="9">
        <f>AV44</f>
        <v>179.25864679488313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1</v>
      </c>
      <c r="BG45" s="9">
        <v>0</v>
      </c>
      <c r="BH45" s="9">
        <v>0</v>
      </c>
      <c r="BI45" s="9">
        <v>0</v>
      </c>
      <c r="BL45">
        <v>9</v>
      </c>
      <c r="BM45">
        <v>107.78781513986127</v>
      </c>
      <c r="BN45">
        <v>2.2121848601387342</v>
      </c>
      <c r="BO45">
        <v>0.70195273588955198</v>
      </c>
      <c r="BQ45">
        <v>23.611111111111111</v>
      </c>
      <c r="BR45">
        <v>149</v>
      </c>
    </row>
    <row r="46" spans="1:70" x14ac:dyDescent="0.2">
      <c r="R46">
        <v>22</v>
      </c>
      <c r="S46">
        <v>191.8179265105623</v>
      </c>
      <c r="T46">
        <v>-6.1892444043536443</v>
      </c>
      <c r="U46">
        <v>-1.956399735082204</v>
      </c>
      <c r="W46">
        <v>59.722222222222214</v>
      </c>
      <c r="X46">
        <v>194.27146312905697</v>
      </c>
      <c r="AV46" s="8">
        <f t="shared" si="6"/>
        <v>142.59197981555047</v>
      </c>
      <c r="AW46" s="9">
        <v>45</v>
      </c>
      <c r="AX46" s="9">
        <f>AV45</f>
        <v>185.59197983454101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1</v>
      </c>
      <c r="BH46" s="9">
        <v>0</v>
      </c>
      <c r="BI46" s="9">
        <v>0</v>
      </c>
      <c r="BL46">
        <v>10</v>
      </c>
      <c r="BM46">
        <v>124.51914669822176</v>
      </c>
      <c r="BN46">
        <v>5.4808533017782395</v>
      </c>
      <c r="BO46">
        <v>1.7391403582570586</v>
      </c>
      <c r="BQ46">
        <v>26.388888888888889</v>
      </c>
      <c r="BR46">
        <v>152</v>
      </c>
    </row>
    <row r="47" spans="1:70" x14ac:dyDescent="0.2">
      <c r="R47">
        <v>23</v>
      </c>
      <c r="S47">
        <v>192.83922314285036</v>
      </c>
      <c r="T47">
        <v>2.9956236338716167</v>
      </c>
      <c r="U47">
        <v>0.94690674674115716</v>
      </c>
      <c r="W47">
        <v>62.499999999999993</v>
      </c>
      <c r="X47">
        <v>195.34666810507463</v>
      </c>
      <c r="AV47" s="8">
        <f t="shared" si="6"/>
        <v>159.25864648098917</v>
      </c>
      <c r="AW47" s="9">
        <v>46</v>
      </c>
      <c r="AX47" s="9">
        <f>AV46</f>
        <v>142.59197981555047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1</v>
      </c>
      <c r="BI47" s="9">
        <v>0</v>
      </c>
      <c r="BL47">
        <v>11</v>
      </c>
      <c r="BM47">
        <v>152.73469633720106</v>
      </c>
      <c r="BN47">
        <v>-0.73469633720105776</v>
      </c>
      <c r="BO47">
        <v>-0.23312794208074117</v>
      </c>
      <c r="BQ47">
        <v>29.166666666666668</v>
      </c>
      <c r="BR47">
        <v>152</v>
      </c>
    </row>
    <row r="48" spans="1:70" x14ac:dyDescent="0.2">
      <c r="R48">
        <v>24</v>
      </c>
      <c r="S48">
        <v>193.86051977513841</v>
      </c>
      <c r="T48">
        <v>4.539882389420228</v>
      </c>
      <c r="U48">
        <v>1.4350418441576545</v>
      </c>
      <c r="W48">
        <v>65.277777777777771</v>
      </c>
      <c r="X48">
        <v>195.83484677672197</v>
      </c>
      <c r="AV48" s="8">
        <f t="shared" si="6"/>
        <v>187.25864648090976</v>
      </c>
      <c r="AW48" s="9">
        <v>47</v>
      </c>
      <c r="AX48" s="9">
        <f>AV47</f>
        <v>159.25864648098917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1</v>
      </c>
      <c r="BL48">
        <v>12</v>
      </c>
      <c r="BM48">
        <v>212.01337365370497</v>
      </c>
      <c r="BN48">
        <v>-6.0133736537049742</v>
      </c>
      <c r="BO48">
        <v>-1.9081154401715041</v>
      </c>
      <c r="BQ48">
        <v>31.944444444444443</v>
      </c>
      <c r="BR48">
        <v>157</v>
      </c>
    </row>
    <row r="49" spans="18:70" x14ac:dyDescent="0.2">
      <c r="R49">
        <v>25</v>
      </c>
      <c r="S49">
        <v>194.8818164074265</v>
      </c>
      <c r="T49">
        <v>0.46485169764812895</v>
      </c>
      <c r="U49">
        <v>0.14693808786927143</v>
      </c>
      <c r="W49">
        <v>68.055555555555543</v>
      </c>
      <c r="X49">
        <v>196.19905167756164</v>
      </c>
      <c r="AV49" s="8">
        <f t="shared" si="6"/>
        <v>246.92531314757127</v>
      </c>
      <c r="AW49" s="9">
        <v>48</v>
      </c>
      <c r="AX49" s="9">
        <f>AV48</f>
        <v>187.25864648090976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L49">
        <v>13</v>
      </c>
      <c r="BM49">
        <v>266.25633676275629</v>
      </c>
      <c r="BN49">
        <v>-3.2563367627562911</v>
      </c>
      <c r="BO49">
        <v>-1.0332746330481417</v>
      </c>
      <c r="BQ49">
        <v>34.722222222222214</v>
      </c>
      <c r="BR49">
        <v>160</v>
      </c>
    </row>
    <row r="50" spans="18:70" x14ac:dyDescent="0.2">
      <c r="R50">
        <v>26</v>
      </c>
      <c r="S50">
        <v>195.90311303971455</v>
      </c>
      <c r="T50">
        <v>0.29593863784708674</v>
      </c>
      <c r="U50">
        <v>9.3545226987217733E-2</v>
      </c>
      <c r="W50">
        <v>70.833333333333329</v>
      </c>
      <c r="X50">
        <v>196.88788218908266</v>
      </c>
      <c r="BL50">
        <v>14</v>
      </c>
      <c r="BM50">
        <v>242.70977659446254</v>
      </c>
      <c r="BN50">
        <v>-4.7097765944625394</v>
      </c>
      <c r="BO50">
        <v>-1.494468489267313</v>
      </c>
      <c r="BQ50">
        <v>37.499999999999993</v>
      </c>
      <c r="BR50">
        <v>161</v>
      </c>
    </row>
    <row r="51" spans="18:70" x14ac:dyDescent="0.2">
      <c r="R51">
        <v>27</v>
      </c>
      <c r="S51">
        <v>196.92440967200261</v>
      </c>
      <c r="T51">
        <v>0.23056022341108928</v>
      </c>
      <c r="U51">
        <v>7.2879325897141536E-2</v>
      </c>
      <c r="W51">
        <v>73.6111111111111</v>
      </c>
      <c r="X51">
        <v>197.1549698954137</v>
      </c>
      <c r="BL51">
        <v>15</v>
      </c>
      <c r="BM51">
        <v>247.69823050542902</v>
      </c>
      <c r="BN51">
        <v>-0.69823050542902365</v>
      </c>
      <c r="BO51">
        <v>-0.22155689716487359</v>
      </c>
      <c r="BQ51">
        <v>40.277777777777771</v>
      </c>
      <c r="BR51">
        <v>166</v>
      </c>
    </row>
    <row r="52" spans="18:70" x14ac:dyDescent="0.2">
      <c r="R52">
        <v>28</v>
      </c>
      <c r="S52">
        <v>197.94570630429067</v>
      </c>
      <c r="T52">
        <v>-1.0578241152080068</v>
      </c>
      <c r="U52">
        <v>-0.33437471257408463</v>
      </c>
      <c r="W52">
        <v>76.388888888888886</v>
      </c>
      <c r="X52">
        <v>198.40040216455864</v>
      </c>
      <c r="BL52">
        <v>16</v>
      </c>
      <c r="BM52">
        <v>191.93533510830628</v>
      </c>
      <c r="BN52">
        <v>1.0646648916937238</v>
      </c>
      <c r="BO52">
        <v>0.33783091413214639</v>
      </c>
      <c r="BQ52">
        <v>43.05555555555555</v>
      </c>
      <c r="BR52">
        <v>167</v>
      </c>
    </row>
    <row r="53" spans="18:70" x14ac:dyDescent="0.2">
      <c r="R53">
        <v>29</v>
      </c>
      <c r="S53">
        <v>198.96700293657875</v>
      </c>
      <c r="T53">
        <v>1.1498823470305695</v>
      </c>
      <c r="U53">
        <v>0.36347401591119466</v>
      </c>
      <c r="W53">
        <v>79.166666666666657</v>
      </c>
      <c r="X53">
        <v>199.90486515764005</v>
      </c>
      <c r="BL53">
        <v>17</v>
      </c>
      <c r="BM53">
        <v>195.73133155836047</v>
      </c>
      <c r="BN53">
        <v>-2.7313315583604663</v>
      </c>
      <c r="BO53">
        <v>-0.86668419740128044</v>
      </c>
      <c r="BQ53">
        <v>45.833333333333329</v>
      </c>
      <c r="BR53">
        <v>173</v>
      </c>
    </row>
    <row r="54" spans="18:70" x14ac:dyDescent="0.2">
      <c r="R54">
        <v>30</v>
      </c>
      <c r="S54">
        <v>199.98829956886681</v>
      </c>
      <c r="T54">
        <v>-8.343441122676154E-2</v>
      </c>
      <c r="U54">
        <v>-2.637334210068612E-2</v>
      </c>
      <c r="W54">
        <v>81.944444444444443</v>
      </c>
      <c r="X54">
        <v>200.11688528360932</v>
      </c>
      <c r="BL54">
        <v>18</v>
      </c>
      <c r="BM54">
        <v>149.49422695548327</v>
      </c>
      <c r="BN54">
        <v>-0.49422695548327056</v>
      </c>
      <c r="BO54">
        <v>-0.15682412885245436</v>
      </c>
      <c r="BQ54">
        <v>48.611111111111107</v>
      </c>
      <c r="BR54">
        <v>174</v>
      </c>
    </row>
    <row r="55" spans="18:70" x14ac:dyDescent="0.2">
      <c r="R55">
        <v>31</v>
      </c>
      <c r="S55">
        <v>201.00959620115486</v>
      </c>
      <c r="T55">
        <v>-0.60074313695119486</v>
      </c>
      <c r="U55">
        <v>-0.18989292346526881</v>
      </c>
      <c r="W55">
        <v>84.722222222222214</v>
      </c>
      <c r="X55">
        <v>200.40885306420367</v>
      </c>
      <c r="BL55">
        <v>19</v>
      </c>
      <c r="BM55">
        <v>155.9568900722042</v>
      </c>
      <c r="BN55">
        <v>1.0431099277957969</v>
      </c>
      <c r="BO55">
        <v>0.33099126607524693</v>
      </c>
      <c r="BQ55">
        <v>51.388888888888886</v>
      </c>
      <c r="BR55">
        <v>178</v>
      </c>
    </row>
    <row r="56" spans="18:70" x14ac:dyDescent="0.2">
      <c r="R56">
        <v>32</v>
      </c>
      <c r="S56">
        <v>202.03089283344292</v>
      </c>
      <c r="T56">
        <v>1.961105667980803</v>
      </c>
      <c r="U56">
        <v>0.61989903106864419</v>
      </c>
      <c r="W56">
        <v>87.5</v>
      </c>
      <c r="X56">
        <v>200.64101929722278</v>
      </c>
      <c r="BL56">
        <v>20</v>
      </c>
      <c r="BM56">
        <v>162.39799822502715</v>
      </c>
      <c r="BN56">
        <v>-1.3979982250271519</v>
      </c>
      <c r="BO56">
        <v>-0.44360157078599843</v>
      </c>
      <c r="BQ56">
        <v>54.166666666666664</v>
      </c>
      <c r="BR56">
        <v>184</v>
      </c>
    </row>
    <row r="57" spans="18:70" x14ac:dyDescent="0.2">
      <c r="R57">
        <v>33</v>
      </c>
      <c r="S57">
        <v>203.052189465731</v>
      </c>
      <c r="T57">
        <v>-2.411170168508221</v>
      </c>
      <c r="U57">
        <v>-0.76216293471775176</v>
      </c>
      <c r="W57">
        <v>90.277777777777771</v>
      </c>
      <c r="X57">
        <v>202.71345438552731</v>
      </c>
      <c r="BL57">
        <v>21</v>
      </c>
      <c r="BM57">
        <v>119.24711347774158</v>
      </c>
      <c r="BN57">
        <v>2.7528865222584216</v>
      </c>
      <c r="BO57">
        <v>0.87352384545818895</v>
      </c>
      <c r="BQ57">
        <v>56.944444444444443</v>
      </c>
      <c r="BR57">
        <v>193</v>
      </c>
    </row>
    <row r="58" spans="18:70" x14ac:dyDescent="0.2">
      <c r="R58">
        <v>34</v>
      </c>
      <c r="S58">
        <v>204.07348609801906</v>
      </c>
      <c r="T58">
        <v>7.2576289152030995</v>
      </c>
      <c r="U58">
        <v>2.2941125538749993</v>
      </c>
      <c r="W58">
        <v>93.055555555555543</v>
      </c>
      <c r="X58">
        <v>202.87082929564613</v>
      </c>
      <c r="BL58">
        <v>22</v>
      </c>
      <c r="BM58">
        <v>136.17243971118347</v>
      </c>
      <c r="BN58">
        <v>-6.1724397111834719</v>
      </c>
      <c r="BO58">
        <v>-1.9585890042240099</v>
      </c>
      <c r="BQ58">
        <v>59.722222222222214</v>
      </c>
      <c r="BR58">
        <v>193</v>
      </c>
    </row>
    <row r="59" spans="18:70" x14ac:dyDescent="0.2">
      <c r="R59">
        <v>35</v>
      </c>
      <c r="S59">
        <v>205.09478273030712</v>
      </c>
      <c r="T59">
        <v>-2.2239534346609844</v>
      </c>
      <c r="U59">
        <v>-0.70298434286184663</v>
      </c>
      <c r="W59">
        <v>95.833333333333329</v>
      </c>
      <c r="X59">
        <v>203.99199850142372</v>
      </c>
      <c r="BL59">
        <v>23</v>
      </c>
      <c r="BM59">
        <v>163.61201064983732</v>
      </c>
      <c r="BN59">
        <v>3.3879893501626839</v>
      </c>
      <c r="BO59">
        <v>1.0750495749085884</v>
      </c>
      <c r="BQ59">
        <v>62.499999999999993</v>
      </c>
      <c r="BR59">
        <v>205</v>
      </c>
    </row>
    <row r="60" spans="18:70" ht="17" thickBot="1" x14ac:dyDescent="0.25">
      <c r="R60" s="7">
        <v>36</v>
      </c>
      <c r="S60" s="7">
        <v>206.1160793625952</v>
      </c>
      <c r="T60" s="7">
        <v>-3.4026249770678874</v>
      </c>
      <c r="U60" s="7">
        <v>-1.0755585284428428</v>
      </c>
      <c r="W60" s="7">
        <v>98.6111111111111</v>
      </c>
      <c r="X60" s="7">
        <v>211.33111501322216</v>
      </c>
      <c r="BL60">
        <v>24</v>
      </c>
      <c r="BM60">
        <v>223.860661341748</v>
      </c>
      <c r="BN60">
        <v>6.1393386582520009</v>
      </c>
      <c r="BO60">
        <v>1.9480856439105261</v>
      </c>
      <c r="BQ60">
        <v>65.277777777777771</v>
      </c>
      <c r="BR60">
        <v>206</v>
      </c>
    </row>
    <row r="61" spans="18:70" x14ac:dyDescent="0.2">
      <c r="BL61">
        <v>25</v>
      </c>
      <c r="BM61">
        <v>278.6856084760434</v>
      </c>
      <c r="BN61">
        <v>3.3143915239566013</v>
      </c>
      <c r="BO61">
        <v>1.0516961036902548</v>
      </c>
      <c r="BQ61">
        <v>68.055555555555543</v>
      </c>
      <c r="BR61">
        <v>210</v>
      </c>
    </row>
    <row r="62" spans="18:70" x14ac:dyDescent="0.2">
      <c r="BL62">
        <v>26</v>
      </c>
      <c r="BM62">
        <v>254.81572384928072</v>
      </c>
      <c r="BN62">
        <v>0.18427615071928471</v>
      </c>
      <c r="BO62">
        <v>5.8473028401652256E-2</v>
      </c>
      <c r="BQ62">
        <v>70.833333333333329</v>
      </c>
      <c r="BR62">
        <v>230</v>
      </c>
    </row>
    <row r="63" spans="18:70" x14ac:dyDescent="0.2">
      <c r="BL63">
        <v>27</v>
      </c>
      <c r="BM63">
        <v>259.67484797685961</v>
      </c>
      <c r="BN63">
        <v>5.3251520231403902</v>
      </c>
      <c r="BO63">
        <v>1.6897344788069635</v>
      </c>
      <c r="BQ63">
        <v>73.6111111111111</v>
      </c>
      <c r="BR63">
        <v>232</v>
      </c>
    </row>
    <row r="64" spans="18:70" x14ac:dyDescent="0.2">
      <c r="BL64">
        <v>28</v>
      </c>
      <c r="BM64">
        <v>203.97661747143064</v>
      </c>
      <c r="BN64">
        <v>1.023382528569357</v>
      </c>
      <c r="BO64">
        <v>0.32473152616448897</v>
      </c>
      <c r="BQ64">
        <v>76.388888888888886</v>
      </c>
      <c r="BR64">
        <v>235</v>
      </c>
    </row>
    <row r="65" spans="64:70" x14ac:dyDescent="0.2">
      <c r="BL65">
        <v>29</v>
      </c>
      <c r="BM65">
        <v>207.38462457132215</v>
      </c>
      <c r="BN65">
        <v>2.6153754286778508</v>
      </c>
      <c r="BO65">
        <v>0.82988992946258255</v>
      </c>
      <c r="BQ65">
        <v>79.166666666666657</v>
      </c>
      <c r="BR65">
        <v>235</v>
      </c>
    </row>
    <row r="66" spans="64:70" x14ac:dyDescent="0.2">
      <c r="BL66">
        <v>30</v>
      </c>
      <c r="BM66">
        <v>161.47084442691386</v>
      </c>
      <c r="BN66">
        <v>-1.4708444269138568</v>
      </c>
      <c r="BO66">
        <v>-0.46671654261087941</v>
      </c>
      <c r="BQ66">
        <v>81.944444444444443</v>
      </c>
      <c r="BR66">
        <v>238</v>
      </c>
    </row>
    <row r="67" spans="64:70" x14ac:dyDescent="0.2">
      <c r="BL67">
        <v>31</v>
      </c>
      <c r="BM67">
        <v>167.54551819347208</v>
      </c>
      <c r="BN67">
        <v>-1.545518193472077</v>
      </c>
      <c r="BO67">
        <v>-0.49041142258191095</v>
      </c>
      <c r="BQ67">
        <v>84.722222222222214</v>
      </c>
      <c r="BR67">
        <v>242</v>
      </c>
    </row>
    <row r="68" spans="64:70" x14ac:dyDescent="0.2">
      <c r="BL68">
        <v>32</v>
      </c>
      <c r="BM68">
        <v>173.85729656290744</v>
      </c>
      <c r="BN68">
        <v>0.14270343709256395</v>
      </c>
      <c r="BO68">
        <v>4.5281508744113609E-2</v>
      </c>
      <c r="BQ68">
        <v>87.5</v>
      </c>
      <c r="BR68">
        <v>247</v>
      </c>
    </row>
    <row r="69" spans="64:70" x14ac:dyDescent="0.2">
      <c r="BL69">
        <v>33</v>
      </c>
      <c r="BM69">
        <v>130.96507138239707</v>
      </c>
      <c r="BN69">
        <v>-4.9650713823970705</v>
      </c>
      <c r="BO69">
        <v>-1.5754765813477138</v>
      </c>
      <c r="BQ69">
        <v>90.277777777777771</v>
      </c>
      <c r="BR69">
        <v>255</v>
      </c>
    </row>
    <row r="70" spans="64:70" x14ac:dyDescent="0.2">
      <c r="BL70">
        <v>34</v>
      </c>
      <c r="BM70">
        <v>147.30841359059488</v>
      </c>
      <c r="BN70">
        <v>0.69158640940511873</v>
      </c>
      <c r="BO70">
        <v>0.21944864596691518</v>
      </c>
      <c r="BQ70">
        <v>93.055555555555543</v>
      </c>
      <c r="BR70">
        <v>263</v>
      </c>
    </row>
    <row r="71" spans="64:70" x14ac:dyDescent="0.2">
      <c r="BL71">
        <v>35</v>
      </c>
      <c r="BM71">
        <v>175.65329301296168</v>
      </c>
      <c r="BN71">
        <v>-2.653293012961683</v>
      </c>
      <c r="BO71">
        <v>-0.84192163282786525</v>
      </c>
      <c r="BQ71">
        <v>95.833333333333329</v>
      </c>
      <c r="BR71">
        <v>265</v>
      </c>
    </row>
    <row r="72" spans="64:70" ht="17" thickBot="1" x14ac:dyDescent="0.25">
      <c r="BL72" s="7">
        <v>36</v>
      </c>
      <c r="BM72" s="7">
        <v>235.125965004547</v>
      </c>
      <c r="BN72" s="7">
        <v>-0.12596500454699822</v>
      </c>
      <c r="BO72" s="7">
        <v>-3.9970203739013034E-2</v>
      </c>
      <c r="BQ72" s="7">
        <v>98.6111111111111</v>
      </c>
      <c r="BR72" s="7">
        <v>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Minxia</dc:creator>
  <cp:lastModifiedBy>Liu, Minxia</cp:lastModifiedBy>
  <dcterms:created xsi:type="dcterms:W3CDTF">2024-04-24T02:43:47Z</dcterms:created>
  <dcterms:modified xsi:type="dcterms:W3CDTF">2024-04-24T02:44:07Z</dcterms:modified>
</cp:coreProperties>
</file>